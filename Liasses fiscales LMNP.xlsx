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ASSES MULTI APPARTEMENT" sheetId="1" r:id="rId5"/>
    <sheet state="visible" name="Appartement 1" sheetId="2" r:id="rId6"/>
    <sheet state="visible" name="Appartement 2" sheetId="3" r:id="rId7"/>
    <sheet state="visible" name="LIASSES FISCALES" sheetId="4" r:id="rId8"/>
    <sheet state="visible" name="2031" sheetId="5" r:id="rId9"/>
    <sheet state="visible" name="2042-C-PRO" sheetId="6" r:id="rId10"/>
    <sheet state="visible" name="rep finale" sheetId="7" r:id="rId11"/>
  </sheets>
  <definedNames/>
  <calcPr/>
</workbook>
</file>

<file path=xl/sharedStrings.xml><?xml version="1.0" encoding="utf-8"?>
<sst xmlns="http://schemas.openxmlformats.org/spreadsheetml/2006/main" count="1853" uniqueCount="419">
  <si>
    <t>LIASSES FISCALES MULTI APPARTEMENTS</t>
  </si>
  <si>
    <t>Année Fiscale</t>
  </si>
  <si>
    <t>Espace Pro : impot gouv : Déclarer : Résultat</t>
  </si>
  <si>
    <t xml:space="preserve">Compte de resultat </t>
  </si>
  <si>
    <t xml:space="preserve">Année </t>
  </si>
  <si>
    <t>Dotation aux ammortissements (année en cours)</t>
  </si>
  <si>
    <t>Loyer</t>
  </si>
  <si>
    <t>Charges</t>
  </si>
  <si>
    <t>Taxes</t>
  </si>
  <si>
    <t>Interets d'emprunts</t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</si>
  <si>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avant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</si>
  <si>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avant </t>
    </r>
    <r>
      <rPr>
        <rFont val="Arial"/>
        <color theme="1"/>
      </rPr>
      <t>dotation aux amortissements</t>
    </r>
  </si>
  <si>
    <t>Déficits reportables (Nouvellement crée)</t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</si>
  <si>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après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</si>
  <si>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après </t>
    </r>
    <r>
      <rPr>
        <rFont val="Arial"/>
        <color theme="1"/>
      </rPr>
      <t>dotation aux amortissements</t>
    </r>
  </si>
  <si>
    <t>Amortissement excédentaires (Nouvellement crée)</t>
  </si>
  <si>
    <t xml:space="preserve">Amortissement excédentaires </t>
  </si>
  <si>
    <t>Résultat après imputation des amortissements excédentaires</t>
  </si>
  <si>
    <r>
      <rPr>
        <rFont val="Arial"/>
        <color theme="1"/>
      </rPr>
      <t xml:space="preserve">Amortissement excédentaires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</si>
  <si>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Amortissement excédentaires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</si>
  <si>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imputés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</si>
  <si>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imputés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</si>
  <si>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restants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</si>
  <si>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restants</t>
    </r>
  </si>
  <si>
    <r>
      <rPr>
        <rFont val="Arial"/>
        <color theme="1"/>
      </rPr>
      <t xml:space="preserve">Amortissements restants </t>
    </r>
    <r>
      <rPr>
        <rFont val="Arial"/>
        <b/>
        <color theme="1"/>
      </rPr>
      <t>à reporter</t>
    </r>
    <r>
      <rPr>
        <rFont val="Arial"/>
        <color theme="1"/>
      </rPr>
      <t xml:space="preserve"> pour les années ultérieures</t>
    </r>
  </si>
  <si>
    <r>
      <rPr>
        <rFont val="Arial"/>
        <color theme="1"/>
      </rPr>
      <t xml:space="preserve">Amortissements restants </t>
    </r>
    <r>
      <rPr>
        <rFont val="Arial"/>
        <b/>
        <color theme="1"/>
      </rPr>
      <t>à reporter</t>
    </r>
    <r>
      <rPr>
        <rFont val="Arial"/>
        <color theme="1"/>
      </rPr>
      <t xml:space="preserve"> pour les années ultérieures</t>
    </r>
  </si>
  <si>
    <t>Résultat après imputation des amortisseùents excédentaires ANTERIEURS</t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</si>
  <si>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</si>
  <si>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</si>
  <si>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 imputés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</si>
  <si>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 imputés</t>
    </r>
  </si>
  <si>
    <t>Déficits ANTERIEURS restants</t>
  </si>
  <si>
    <t>Déficits restants à reportrer pour les années ultérieures</t>
  </si>
  <si>
    <t>Resultat fiscal après imputation : 1/ amortissements  excedentaires de l'année en cours 2/ amortissement excédentaires antérieurs 3/ déficits antérieurs</t>
  </si>
  <si>
    <t xml:space="preserve">Disponibilité Antérieurs </t>
  </si>
  <si>
    <t>Disponibilités</t>
  </si>
  <si>
    <t>BILAN (2033-A)</t>
  </si>
  <si>
    <t>ACTIF</t>
  </si>
  <si>
    <t>BRUT</t>
  </si>
  <si>
    <t>Amortissement/provisions</t>
  </si>
  <si>
    <t>Net Exercice N</t>
  </si>
  <si>
    <t>Actif immobilisé</t>
  </si>
  <si>
    <t>Immobilisation corporelles</t>
  </si>
  <si>
    <t>"028"</t>
  </si>
  <si>
    <t>"030"</t>
  </si>
  <si>
    <t>Immobilisation financière</t>
  </si>
  <si>
    <t>"040"</t>
  </si>
  <si>
    <t>"042"</t>
  </si>
  <si>
    <t>Total</t>
  </si>
  <si>
    <t>"044"</t>
  </si>
  <si>
    <t>"048"</t>
  </si>
  <si>
    <t>Actif Circulant</t>
  </si>
  <si>
    <t>"084"</t>
  </si>
  <si>
    <t>"110"</t>
  </si>
  <si>
    <t>"112"</t>
  </si>
  <si>
    <t>PASSIF</t>
  </si>
  <si>
    <t>Capital social ou individuel</t>
  </si>
  <si>
    <t>"120"</t>
  </si>
  <si>
    <t>Resultat de l'exercice</t>
  </si>
  <si>
    <t>"136"</t>
  </si>
  <si>
    <t>Emrpunt et dettes assimilés</t>
  </si>
  <si>
    <t>"156"</t>
  </si>
  <si>
    <t>Total II</t>
  </si>
  <si>
    <t>"176"</t>
  </si>
  <si>
    <t>Total III</t>
  </si>
  <si>
    <t>"180"</t>
  </si>
  <si>
    <t>2033-B</t>
  </si>
  <si>
    <t>Equilibre</t>
  </si>
  <si>
    <t>A- RESULTAT COMPTABLE</t>
  </si>
  <si>
    <t>production vendue : services</t>
  </si>
  <si>
    <t>"218"</t>
  </si>
  <si>
    <t xml:space="preserve">Total produit d'exploitation </t>
  </si>
  <si>
    <t>"232"</t>
  </si>
  <si>
    <t>Autre charges externes</t>
  </si>
  <si>
    <t>"242"</t>
  </si>
  <si>
    <t>Impots taxe et versement assimilés</t>
  </si>
  <si>
    <t>"244"</t>
  </si>
  <si>
    <t>Dotations aux amortissements</t>
  </si>
  <si>
    <t>"254"</t>
  </si>
  <si>
    <t>Total charges d'exploitation</t>
  </si>
  <si>
    <t>"264"</t>
  </si>
  <si>
    <t>Resultat d'exploitation</t>
  </si>
  <si>
    <t>"270"</t>
  </si>
  <si>
    <t>Charges financières</t>
  </si>
  <si>
    <t>"294"</t>
  </si>
  <si>
    <t>Benefices ou perte</t>
  </si>
  <si>
    <t>"310"</t>
  </si>
  <si>
    <t>B- RESULTAT FISCAL</t>
  </si>
  <si>
    <t>Reporter les benef compables</t>
  </si>
  <si>
    <t>"312"</t>
  </si>
  <si>
    <t>"314"</t>
  </si>
  <si>
    <t>Amortissements excedentaires</t>
  </si>
  <si>
    <t>"318"</t>
  </si>
  <si>
    <t>"342"</t>
  </si>
  <si>
    <t>En ligne : deduction de l'execice : deduction diverses    Papier : creance du au titre du report en arrière du deficit</t>
  </si>
  <si>
    <t>"350"</t>
  </si>
  <si>
    <t>"360"</t>
  </si>
  <si>
    <t>Resultat Fiscal avant imputation</t>
  </si>
  <si>
    <t>"352"</t>
  </si>
  <si>
    <t>"354"</t>
  </si>
  <si>
    <t>Resultat Fiscal apres imputation</t>
  </si>
  <si>
    <t>"370"</t>
  </si>
  <si>
    <t>"372"</t>
  </si>
  <si>
    <t>Resultat Fiscal</t>
  </si>
  <si>
    <t>2033-C</t>
  </si>
  <si>
    <t>1- Immobilisations</t>
  </si>
  <si>
    <t>Année</t>
  </si>
  <si>
    <t>Valeur brut des immo en début d'exercice</t>
  </si>
  <si>
    <t>Augmentation</t>
  </si>
  <si>
    <t>Diminution</t>
  </si>
  <si>
    <t>Valeur brute des immo à la fin de l'exercice</t>
  </si>
  <si>
    <t>Terrains</t>
  </si>
  <si>
    <t>"420"</t>
  </si>
  <si>
    <t>"422"</t>
  </si>
  <si>
    <t>"424"</t>
  </si>
  <si>
    <t>"426"</t>
  </si>
  <si>
    <t>Constructions</t>
  </si>
  <si>
    <t>"430"</t>
  </si>
  <si>
    <t>"432"</t>
  </si>
  <si>
    <t>"434"</t>
  </si>
  <si>
    <t>"436"</t>
  </si>
  <si>
    <t>Installations techniques materiel et outillage</t>
  </si>
  <si>
    <t>"440"</t>
  </si>
  <si>
    <t>"442"</t>
  </si>
  <si>
    <t>"444"</t>
  </si>
  <si>
    <t>"446"</t>
  </si>
  <si>
    <t>Installations générales agencement divers</t>
  </si>
  <si>
    <t>"450"</t>
  </si>
  <si>
    <t>"452"</t>
  </si>
  <si>
    <t>"454"</t>
  </si>
  <si>
    <t>"456"</t>
  </si>
  <si>
    <t>Autres immobilisations corporelles</t>
  </si>
  <si>
    <t>"470"</t>
  </si>
  <si>
    <t>"472"</t>
  </si>
  <si>
    <t>"474"</t>
  </si>
  <si>
    <t>"476"</t>
  </si>
  <si>
    <t>Immobilisations financières</t>
  </si>
  <si>
    <t>"480"</t>
  </si>
  <si>
    <t>"482"</t>
  </si>
  <si>
    <t>"484"</t>
  </si>
  <si>
    <t>"486"</t>
  </si>
  <si>
    <t>"490"</t>
  </si>
  <si>
    <t>"492"</t>
  </si>
  <si>
    <t>"494"</t>
  </si>
  <si>
    <t>"496"</t>
  </si>
  <si>
    <t>2 - AMMORTISSEMENT</t>
  </si>
  <si>
    <t>Amortissements en début d'exercice</t>
  </si>
  <si>
    <t>Augmentation (dotation exercice)</t>
  </si>
  <si>
    <t>Immobilisations incorporelless</t>
  </si>
  <si>
    <t>"500"</t>
  </si>
  <si>
    <t>"502"</t>
  </si>
  <si>
    <t>"504"</t>
  </si>
  <si>
    <t>"506"</t>
  </si>
  <si>
    <t>"510"</t>
  </si>
  <si>
    <t>"512"</t>
  </si>
  <si>
    <t>"514"</t>
  </si>
  <si>
    <t>"516"</t>
  </si>
  <si>
    <t>"520"</t>
  </si>
  <si>
    <t>"522"</t>
  </si>
  <si>
    <t>"524"</t>
  </si>
  <si>
    <t>"526"</t>
  </si>
  <si>
    <t>"530"</t>
  </si>
  <si>
    <t>"532"</t>
  </si>
  <si>
    <t>"534"</t>
  </si>
  <si>
    <t>"536"</t>
  </si>
  <si>
    <t>"540"</t>
  </si>
  <si>
    <t>"542"</t>
  </si>
  <si>
    <t>"544"</t>
  </si>
  <si>
    <t>"546"</t>
  </si>
  <si>
    <t>"560"</t>
  </si>
  <si>
    <t>"562"</t>
  </si>
  <si>
    <t>"564"</t>
  </si>
  <si>
    <t>"566"</t>
  </si>
  <si>
    <t>"570"</t>
  </si>
  <si>
    <t>"572"</t>
  </si>
  <si>
    <t>"574"</t>
  </si>
  <si>
    <t>"576"</t>
  </si>
  <si>
    <t>2033-D</t>
  </si>
  <si>
    <t>Les déficits reportables</t>
  </si>
  <si>
    <t>Déficit restant à reporter au titre de l'exercice précedent</t>
  </si>
  <si>
    <t>"982"</t>
  </si>
  <si>
    <t>Déficit imputé</t>
  </si>
  <si>
    <t>"983"</t>
  </si>
  <si>
    <t>Déficit reportable</t>
  </si>
  <si>
    <t>"984"</t>
  </si>
  <si>
    <t>Déficit de l'exercice</t>
  </si>
  <si>
    <t>"860"</t>
  </si>
  <si>
    <t>Total des déficits restants à reporter</t>
  </si>
  <si>
    <t>"870"</t>
  </si>
  <si>
    <t>Etape 1 prix de départ  Appartement 1:</t>
  </si>
  <si>
    <t>Prix d'achat</t>
  </si>
  <si>
    <t>Frais de notaire</t>
  </si>
  <si>
    <t>frais d'agence</t>
  </si>
  <si>
    <t>Mobilier</t>
  </si>
  <si>
    <t>Travaux à amortir</t>
  </si>
  <si>
    <t>Base amortissable</t>
  </si>
  <si>
    <t>Etape 2 : Décomposition et amortissement</t>
  </si>
  <si>
    <t>Date de début d'activité</t>
  </si>
  <si>
    <t>Année de début d'activité</t>
  </si>
  <si>
    <t>Année d'exercice</t>
  </si>
  <si>
    <t>Prorata</t>
  </si>
  <si>
    <t>Travaux/Mobilier</t>
  </si>
  <si>
    <t>Montant</t>
  </si>
  <si>
    <t>Date debut</t>
  </si>
  <si>
    <t>Nbr année amortissement</t>
  </si>
  <si>
    <t>Prorata première année</t>
  </si>
  <si>
    <t>Terrain</t>
  </si>
  <si>
    <t>Travaux/Mobilier 1</t>
  </si>
  <si>
    <t>Structure (Gros oeuvre)</t>
  </si>
  <si>
    <t>du total sur</t>
  </si>
  <si>
    <t>ans</t>
  </si>
  <si>
    <t>Travaux/Mobilier 2</t>
  </si>
  <si>
    <t>Façade, étanchieté</t>
  </si>
  <si>
    <t>Travaux/Mobilier 3</t>
  </si>
  <si>
    <t>IGT, Equipement</t>
  </si>
  <si>
    <t>Travaux/Mobilier 4</t>
  </si>
  <si>
    <t>Agencements (cloisons, chapes, platerie, revetement, plomberie, cablage)</t>
  </si>
  <si>
    <t>Travaux/Mobilier 5</t>
  </si>
  <si>
    <t>Mobilier+travaux avant 1ere location</t>
  </si>
  <si>
    <t>Travaux/Mobilier 6</t>
  </si>
  <si>
    <t>Travaux/Mobilier 7</t>
  </si>
  <si>
    <t>Frais d'agence</t>
  </si>
  <si>
    <t>Travaux/Mobilier 8</t>
  </si>
  <si>
    <t>Travaux/Mobilier 9</t>
  </si>
  <si>
    <t>Augmentation Amortissement (dotations)</t>
  </si>
  <si>
    <t>Immobilisations net</t>
  </si>
  <si>
    <t>Ammortissement début d'excercice</t>
  </si>
  <si>
    <t>Ammortissement fin exercice</t>
  </si>
  <si>
    <t>Travaux/Mobilier 10</t>
  </si>
  <si>
    <t>Structure</t>
  </si>
  <si>
    <t>Façade</t>
  </si>
  <si>
    <t>Equipement</t>
  </si>
  <si>
    <t>Agencement</t>
  </si>
  <si>
    <t>Total Ammortissement</t>
  </si>
  <si>
    <t>Construction</t>
  </si>
  <si>
    <t>Immo equipement</t>
  </si>
  <si>
    <t>Immo agencement</t>
  </si>
  <si>
    <t xml:space="preserve">ETAPE 3 : Compte de resultat </t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</si>
  <si>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avant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</si>
  <si>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avant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</si>
  <si>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après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</si>
  <si>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après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</si>
  <si>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Amortissement excédentaires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</si>
  <si>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Amortissement excédentaires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</si>
  <si>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imputés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</si>
  <si>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imputés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</si>
  <si>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restants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</si>
  <si>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restants</t>
    </r>
  </si>
  <si>
    <r>
      <rPr>
        <rFont val="Arial"/>
        <color theme="1"/>
      </rPr>
      <t xml:space="preserve">Amortissements restants </t>
    </r>
    <r>
      <rPr>
        <rFont val="Arial"/>
        <b/>
        <color theme="1"/>
      </rPr>
      <t>à reporter</t>
    </r>
    <r>
      <rPr>
        <rFont val="Arial"/>
        <color theme="1"/>
      </rPr>
      <t xml:space="preserve"> pour les années ultérieures</t>
    </r>
  </si>
  <si>
    <r>
      <rPr>
        <rFont val="Arial"/>
        <color theme="1"/>
      </rPr>
      <t xml:space="preserve">Amortissements restants </t>
    </r>
    <r>
      <rPr>
        <rFont val="Arial"/>
        <b/>
        <color theme="1"/>
      </rPr>
      <t>à reporter</t>
    </r>
    <r>
      <rPr>
        <rFont val="Arial"/>
        <color theme="1"/>
      </rPr>
      <t xml:space="preserve"> pour les années ultérieures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</si>
  <si>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</si>
  <si>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</si>
  <si>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 imputés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</si>
  <si>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 imputés</t>
    </r>
  </si>
  <si>
    <t>ETAPE 4 : LES FORMULAIRES BILAN (2033-A)</t>
  </si>
  <si>
    <t>Etape 1 prix de départ Appartement 2:</t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</si>
  <si>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avant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</si>
  <si>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avant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</si>
  <si>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après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</si>
  <si>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après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</si>
  <si>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Amortissement excédentaires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</si>
  <si>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Amortissement excédentaires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</si>
  <si>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imputés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</si>
  <si>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imputés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</si>
  <si>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restants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</si>
  <si>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restants</t>
    </r>
  </si>
  <si>
    <r>
      <rPr>
        <rFont val="Arial"/>
        <color theme="1"/>
      </rPr>
      <t xml:space="preserve">Amortissements restants </t>
    </r>
    <r>
      <rPr>
        <rFont val="Arial"/>
        <b/>
        <color theme="1"/>
      </rPr>
      <t>à reporter</t>
    </r>
    <r>
      <rPr>
        <rFont val="Arial"/>
        <color theme="1"/>
      </rPr>
      <t xml:space="preserve"> pour les années ultérieures</t>
    </r>
  </si>
  <si>
    <r>
      <rPr>
        <rFont val="Arial"/>
        <color theme="1"/>
      </rPr>
      <t xml:space="preserve">Amortissements restants </t>
    </r>
    <r>
      <rPr>
        <rFont val="Arial"/>
        <b/>
        <color theme="1"/>
      </rPr>
      <t>à reporter</t>
    </r>
    <r>
      <rPr>
        <rFont val="Arial"/>
        <color theme="1"/>
      </rPr>
      <t xml:space="preserve"> pour les années ultérieures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</si>
  <si>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</si>
  <si>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</si>
  <si>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 imputés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</si>
  <si>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 imputés</t>
    </r>
  </si>
  <si>
    <t>ETAPE4 : BILAN (2033-A)</t>
  </si>
  <si>
    <t xml:space="preserve">ETAPE 5 : FORMULAIRES </t>
  </si>
  <si>
    <t>Etape 1 prix de départ :</t>
  </si>
  <si>
    <t xml:space="preserve">ETAPE 2 : Compte de resultat </t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</si>
  <si>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avant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</si>
  <si>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avant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</si>
  <si>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après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</si>
  <si>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Resultat comptable </t>
    </r>
    <r>
      <rPr>
        <rFont val="Arial"/>
        <b/>
        <color theme="1"/>
      </rPr>
      <t xml:space="preserve">après </t>
    </r>
    <r>
      <rPr>
        <rFont val="Arial"/>
        <color theme="1"/>
      </rPr>
      <t>dotation aux amortissements</t>
    </r>
  </si>
  <si>
    <r>
      <rPr>
        <rFont val="Arial"/>
        <color theme="1"/>
      </rPr>
      <t xml:space="preserve">Amortissement excédentaires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</si>
  <si>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Amortissement excédentaires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</si>
  <si>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imputés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</si>
  <si>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imputés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</si>
  <si>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restants</t>
    </r>
  </si>
  <si>
    <r>
      <rPr>
        <rFont val="Arial"/>
        <color theme="1"/>
      </rPr>
      <t xml:space="preserve">Amortissement </t>
    </r>
    <r>
      <rPr>
        <rFont val="Arial"/>
        <b/>
        <color theme="1"/>
      </rPr>
      <t>ANTERIEURS restants</t>
    </r>
  </si>
  <si>
    <r>
      <rPr>
        <rFont val="Arial"/>
        <color theme="1"/>
      </rPr>
      <t xml:space="preserve">Amortissements restants </t>
    </r>
    <r>
      <rPr>
        <rFont val="Arial"/>
        <b/>
        <color theme="1"/>
      </rPr>
      <t>à reporter</t>
    </r>
    <r>
      <rPr>
        <rFont val="Arial"/>
        <color theme="1"/>
      </rPr>
      <t xml:space="preserve"> pour les années ultérieures</t>
    </r>
  </si>
  <si>
    <r>
      <rPr>
        <rFont val="Arial"/>
        <color theme="1"/>
      </rPr>
      <t xml:space="preserve">Amortissements restants </t>
    </r>
    <r>
      <rPr>
        <rFont val="Arial"/>
        <b/>
        <color theme="1"/>
      </rPr>
      <t>à reporter</t>
    </r>
    <r>
      <rPr>
        <rFont val="Arial"/>
        <color theme="1"/>
      </rPr>
      <t xml:space="preserve"> pour les années ultérieures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</si>
  <si>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</si>
  <si>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</si>
  <si>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 imputés</t>
    </r>
  </si>
  <si>
    <r>
      <rPr>
        <rFont val="Arial"/>
        <color theme="1"/>
      </rPr>
      <t xml:space="preserve">Déficits </t>
    </r>
    <r>
      <rPr>
        <rFont val="Arial"/>
        <b/>
        <color theme="1"/>
      </rPr>
      <t>ANTERIEURS imputés</t>
    </r>
  </si>
  <si>
    <t>Cadre C</t>
  </si>
  <si>
    <t>Col 1</t>
  </si>
  <si>
    <t>Col 2</t>
  </si>
  <si>
    <t>1 - Resultat fiscal</t>
  </si>
  <si>
    <t>case 370</t>
  </si>
  <si>
    <t>7-Dont BIC non professionnels</t>
  </si>
  <si>
    <t>Cadre D</t>
  </si>
  <si>
    <t>Vide</t>
  </si>
  <si>
    <t>Cadre E</t>
  </si>
  <si>
    <t>Nom prénom, adresse, SIREN</t>
  </si>
  <si>
    <t>part du benef 100%</t>
  </si>
  <si>
    <t>Montant case 370</t>
  </si>
  <si>
    <t>Cadre F, G, H</t>
  </si>
  <si>
    <t>I- BIC non professionnels</t>
  </si>
  <si>
    <t>Autres locations non prof</t>
  </si>
  <si>
    <t>1. Identification (page 1)</t>
  </si>
  <si>
    <t>2. Le report du résultat (Le plus important)</t>
  </si>
  <si>
    <t>REVENU INDUS ET COMMERCIAUX NON PROF</t>
  </si>
  <si>
    <t>- Régime du benefice reel (page 2)</t>
  </si>
  <si>
    <t>Case 5NA</t>
  </si>
  <si>
    <t>Case 5NY</t>
  </si>
  <si>
    <t>case 360</t>
  </si>
  <si>
    <t>deficit des années antérieur à noter : case en bas du 5NY</t>
  </si>
  <si>
    <t>deficit anterieur dispo dans la page de calcul</t>
  </si>
  <si>
    <t>BA, BIC, BNC à imposer aux prélévements sociaux</t>
  </si>
  <si>
    <t>Case 5HY</t>
  </si>
  <si>
    <t>ID</t>
  </si>
  <si>
    <t>email</t>
  </si>
  <si>
    <t>Cases</t>
  </si>
  <si>
    <t>email@email.com</t>
  </si>
  <si>
    <t>028</t>
  </si>
  <si>
    <t>030</t>
  </si>
  <si>
    <t>028+030</t>
  </si>
  <si>
    <t>040</t>
  </si>
  <si>
    <t>042</t>
  </si>
  <si>
    <t>040+042</t>
  </si>
  <si>
    <t>044</t>
  </si>
  <si>
    <t>048</t>
  </si>
  <si>
    <t>044+048</t>
  </si>
  <si>
    <t>084</t>
  </si>
  <si>
    <t>110</t>
  </si>
  <si>
    <t>112</t>
  </si>
  <si>
    <t>110+112</t>
  </si>
  <si>
    <t>120</t>
  </si>
  <si>
    <t>136</t>
  </si>
  <si>
    <t>156</t>
  </si>
  <si>
    <t>180</t>
  </si>
  <si>
    <t>218</t>
  </si>
  <si>
    <t>232</t>
  </si>
  <si>
    <t>242</t>
  </si>
  <si>
    <t>244</t>
  </si>
  <si>
    <t>254</t>
  </si>
  <si>
    <t>264</t>
  </si>
  <si>
    <t>270</t>
  </si>
  <si>
    <t>294</t>
  </si>
  <si>
    <t>310</t>
  </si>
  <si>
    <t>312</t>
  </si>
  <si>
    <t>314</t>
  </si>
  <si>
    <t>318</t>
  </si>
  <si>
    <t>342</t>
  </si>
  <si>
    <t>350</t>
  </si>
  <si>
    <t>360</t>
  </si>
  <si>
    <t>352</t>
  </si>
  <si>
    <t>354</t>
  </si>
  <si>
    <t>370</t>
  </si>
  <si>
    <t>372</t>
  </si>
  <si>
    <t>420</t>
  </si>
  <si>
    <t>422</t>
  </si>
  <si>
    <t>424</t>
  </si>
  <si>
    <t>426</t>
  </si>
  <si>
    <t>430</t>
  </si>
  <si>
    <t>432</t>
  </si>
  <si>
    <t>434</t>
  </si>
  <si>
    <t>436</t>
  </si>
  <si>
    <t>440</t>
  </si>
  <si>
    <t>442</t>
  </si>
  <si>
    <t>444</t>
  </si>
  <si>
    <t>446</t>
  </si>
  <si>
    <t>450</t>
  </si>
  <si>
    <t>452</t>
  </si>
  <si>
    <t>454</t>
  </si>
  <si>
    <t>456</t>
  </si>
  <si>
    <t>470</t>
  </si>
  <si>
    <t>472</t>
  </si>
  <si>
    <t>474</t>
  </si>
  <si>
    <t>476</t>
  </si>
  <si>
    <t>480</t>
  </si>
  <si>
    <t>482</t>
  </si>
  <si>
    <t>484</t>
  </si>
  <si>
    <t>486</t>
  </si>
  <si>
    <t>490</t>
  </si>
  <si>
    <t>492</t>
  </si>
  <si>
    <t>494</t>
  </si>
  <si>
    <t>496</t>
  </si>
  <si>
    <t>500</t>
  </si>
  <si>
    <t>502</t>
  </si>
  <si>
    <t>504</t>
  </si>
  <si>
    <t>506</t>
  </si>
  <si>
    <t>510</t>
  </si>
  <si>
    <t>512</t>
  </si>
  <si>
    <t>514</t>
  </si>
  <si>
    <t>516</t>
  </si>
  <si>
    <t>520</t>
  </si>
  <si>
    <t>522</t>
  </si>
  <si>
    <t>524</t>
  </si>
  <si>
    <t>526</t>
  </si>
  <si>
    <t>530</t>
  </si>
  <si>
    <t>532</t>
  </si>
  <si>
    <t>534</t>
  </si>
  <si>
    <t>536</t>
  </si>
  <si>
    <t>540</t>
  </si>
  <si>
    <t>542</t>
  </si>
  <si>
    <t>544</t>
  </si>
  <si>
    <t>546</t>
  </si>
  <si>
    <t>560</t>
  </si>
  <si>
    <t>562</t>
  </si>
  <si>
    <t>564</t>
  </si>
  <si>
    <t>566</t>
  </si>
  <si>
    <t>570</t>
  </si>
  <si>
    <t>572</t>
  </si>
  <si>
    <t>574</t>
  </si>
  <si>
    <t>576</t>
  </si>
  <si>
    <t>982</t>
  </si>
  <si>
    <t>983</t>
  </si>
  <si>
    <t>984</t>
  </si>
  <si>
    <t>860</t>
  </si>
  <si>
    <t>870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</si>
</sst>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0.0"/>
      <color rgb="FF000000"/>
      <name val="Arial"/>
      <scheme val="minor"/>
    </font>
    <font>
      <b/>
      <sz val="24.0"/>
      <color rgb="FF0B5394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sz val="19.0"/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sz val="15.0"/>
      <color theme="1"/>
      <name val="Arial"/>
      <scheme val="minor"/>
    </font>
    <font>
      <b/>
      <sz val="14.0"/>
      <color theme="1"/>
      <name val="Arial"/>
      <scheme val="minor"/>
    </font>
    <font/>
    <font>
      <sz val="13.0"/>
      <color theme="1"/>
      <name val="Arial"/>
      <scheme val="minor"/>
    </font>
    <font>
      <sz val="15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Fill="1" applyFont="1"/>
    <xf borderId="0" fillId="0" fontId="4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5" fontId="3" numFmtId="0" xfId="0" applyAlignment="1" applyBorder="1" applyFill="1" applyFont="1">
      <alignment readingOrder="0"/>
    </xf>
    <xf borderId="1" fillId="5" fontId="3" numFmtId="0" xfId="0" applyBorder="1" applyFont="1"/>
    <xf borderId="1" fillId="0" fontId="5" numFmtId="0" xfId="0" applyBorder="1" applyFont="1"/>
    <xf borderId="0" fillId="0" fontId="3" numFmtId="0" xfId="0" applyFont="1"/>
    <xf borderId="1" fillId="0" fontId="3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/>
    </xf>
    <xf borderId="0" fillId="6" fontId="6" numFmtId="0" xfId="0" applyAlignment="1" applyFill="1" applyFont="1">
      <alignment readingOrder="0"/>
    </xf>
    <xf borderId="1" fillId="0" fontId="7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3" fillId="0" fontId="9" numFmtId="0" xfId="0" applyBorder="1" applyFont="1"/>
    <xf borderId="2" fillId="0" fontId="7" numFmtId="0" xfId="0" applyAlignment="1" applyBorder="1" applyFont="1">
      <alignment horizontal="right" readingOrder="0"/>
    </xf>
    <xf borderId="1" fillId="0" fontId="7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5" fillId="0" fontId="9" numFmtId="0" xfId="0" applyBorder="1" applyFont="1"/>
    <xf borderId="6" fillId="0" fontId="9" numFmtId="0" xfId="0" applyBorder="1" applyFont="1"/>
    <xf borderId="1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2" fillId="0" fontId="7" numFmtId="0" xfId="0" applyAlignment="1" applyBorder="1" applyFont="1">
      <alignment horizontal="center" readingOrder="0"/>
    </xf>
    <xf borderId="7" fillId="0" fontId="9" numFmtId="0" xfId="0" applyBorder="1" applyFont="1"/>
    <xf borderId="8" fillId="0" fontId="3" numFmtId="0" xfId="0" applyAlignment="1" applyBorder="1" applyFont="1">
      <alignment horizontal="center"/>
    </xf>
    <xf borderId="9" fillId="0" fontId="9" numFmtId="0" xfId="0" applyBorder="1" applyFont="1"/>
    <xf borderId="10" fillId="0" fontId="9" numFmtId="0" xfId="0" applyBorder="1" applyFont="1"/>
    <xf borderId="2" fillId="0" fontId="3" numFmtId="0" xfId="0" applyAlignment="1" applyBorder="1" applyFont="1">
      <alignment horizontal="center"/>
    </xf>
    <xf borderId="11" fillId="0" fontId="9" numFmtId="0" xfId="0" applyBorder="1" applyFont="1"/>
    <xf borderId="12" fillId="0" fontId="9" numFmtId="0" xfId="0" applyBorder="1" applyFont="1"/>
    <xf borderId="1" fillId="5" fontId="3" numFmtId="0" xfId="0" applyAlignment="1" applyBorder="1" applyFont="1">
      <alignment horizontal="center"/>
    </xf>
    <xf borderId="13" fillId="0" fontId="9" numFmtId="0" xfId="0" applyBorder="1" applyFont="1"/>
    <xf borderId="14" fillId="0" fontId="9" numFmtId="0" xfId="0" applyBorder="1" applyFont="1"/>
    <xf borderId="15" fillId="0" fontId="9" numFmtId="0" xfId="0" applyBorder="1" applyFont="1"/>
    <xf borderId="0" fillId="7" fontId="2" numFmtId="0" xfId="0" applyAlignment="1" applyFill="1" applyFont="1">
      <alignment readingOrder="0"/>
    </xf>
    <xf borderId="0" fillId="8" fontId="7" numFmtId="0" xfId="0" applyFill="1" applyFont="1"/>
    <xf borderId="1" fillId="0" fontId="10" numFmtId="0" xfId="0" applyAlignment="1" applyBorder="1" applyFont="1">
      <alignment readingOrder="0"/>
    </xf>
    <xf borderId="2" fillId="0" fontId="3" numFmtId="0" xfId="0" applyBorder="1" applyFont="1"/>
    <xf borderId="8" fillId="0" fontId="3" numFmtId="0" xfId="0" applyBorder="1" applyFont="1"/>
    <xf borderId="1" fillId="0" fontId="1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2" fillId="0" fontId="13" numFmtId="0" xfId="0" applyAlignment="1" applyBorder="1" applyFont="1">
      <alignment horizontal="right" readingOrder="0" shrinkToFit="0" vertical="center" wrapText="1"/>
    </xf>
    <xf borderId="2" fillId="0" fontId="8" numFmtId="0" xfId="0" applyAlignment="1" applyBorder="1" applyFont="1">
      <alignment horizontal="right" readingOrder="0" vertical="center"/>
    </xf>
    <xf borderId="2" fillId="0" fontId="8" numFmtId="0" xfId="0" applyAlignment="1" applyBorder="1" applyFont="1">
      <alignment horizontal="right" readingOrder="0" shrinkToFit="0" wrapText="1"/>
    </xf>
    <xf borderId="0" fillId="0" fontId="14" numFmtId="0" xfId="0" applyAlignment="1" applyFont="1">
      <alignment readingOrder="0"/>
    </xf>
    <xf borderId="2" fillId="0" fontId="8" numFmtId="0" xfId="0" applyAlignment="1" applyBorder="1" applyFont="1">
      <alignment horizontal="right" readingOrder="0" shrinkToFit="0" vertical="center" wrapText="1"/>
    </xf>
    <xf borderId="0" fillId="0" fontId="7" numFmtId="0" xfId="0" applyAlignment="1" applyFont="1">
      <alignment readingOrder="0"/>
    </xf>
    <xf borderId="0" fillId="0" fontId="15" numFmtId="0" xfId="0" applyAlignment="1" applyFont="1">
      <alignment horizontal="right" readingOrder="0"/>
    </xf>
    <xf borderId="0" fillId="0" fontId="15" numFmtId="0" xfId="0" applyFont="1"/>
    <xf borderId="1" fillId="0" fontId="3" numFmtId="0" xfId="0" applyBorder="1" applyFont="1"/>
    <xf borderId="1" fillId="5" fontId="3" numFmtId="0" xfId="0" applyBorder="1" applyFont="1"/>
    <xf borderId="1" fillId="6" fontId="16" numFmtId="0" xfId="0" applyAlignment="1" applyBorder="1" applyFont="1">
      <alignment readingOrder="0"/>
    </xf>
    <xf borderId="1" fillId="6" fontId="17" numFmtId="4" xfId="0" applyBorder="1" applyFont="1" applyNumberFormat="1"/>
    <xf borderId="0" fillId="9" fontId="3" numFmtId="0" xfId="0" applyAlignment="1" applyFill="1" applyFont="1">
      <alignment readingOrder="0"/>
    </xf>
    <xf borderId="0" fillId="9" fontId="3" numFmtId="164" xfId="0" applyAlignment="1" applyFont="1" applyNumberFormat="1">
      <alignment readingOrder="0"/>
    </xf>
    <xf borderId="0" fillId="9" fontId="3" numFmtId="0" xfId="0" applyFont="1"/>
    <xf borderId="0" fillId="0" fontId="3" numFmtId="10" xfId="0" applyFont="1" applyNumberForma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10" fontId="3" numFmtId="0" xfId="0" applyAlignment="1" applyFill="1" applyFont="1">
      <alignment readingOrder="0"/>
    </xf>
    <xf borderId="0" fillId="10" fontId="3" numFmtId="0" xfId="0" applyFont="1"/>
    <xf borderId="0" fillId="11" fontId="3" numFmtId="0" xfId="0" applyFill="1" applyFont="1"/>
    <xf borderId="0" fillId="11" fontId="3" numFmtId="0" xfId="0" applyAlignment="1" applyFont="1">
      <alignment readingOrder="0"/>
    </xf>
    <xf borderId="0" fillId="3" fontId="3" numFmtId="0" xfId="0" applyFont="1"/>
    <xf borderId="0" fillId="3" fontId="3" numFmtId="0" xfId="0" applyAlignment="1" applyFont="1">
      <alignment readingOrder="0"/>
    </xf>
    <xf borderId="0" fillId="12" fontId="3" numFmtId="0" xfId="0" applyFill="1" applyFont="1"/>
    <xf borderId="0" fillId="12" fontId="3" numFmtId="0" xfId="0" applyAlignment="1" applyFont="1">
      <alignment readingOrder="0"/>
    </xf>
    <xf borderId="0" fillId="13" fontId="3" numFmtId="0" xfId="0" applyFill="1" applyFont="1"/>
    <xf borderId="0" fillId="13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6" fontId="16" numFmtId="0" xfId="0" applyAlignment="1" applyBorder="1" applyFont="1">
      <alignment readingOrder="0" shrinkToFit="0" wrapText="1"/>
    </xf>
    <xf borderId="0" fillId="9" fontId="3" numFmtId="0" xfId="0" applyAlignment="1" applyFont="1">
      <alignment readingOrder="0" shrinkToFit="0" wrapText="1"/>
    </xf>
    <xf borderId="0" fillId="10" fontId="3" numFmtId="0" xfId="0" applyAlignment="1" applyFont="1">
      <alignment readingOrder="0" shrinkToFit="0" wrapText="1"/>
    </xf>
    <xf borderId="0" fillId="11" fontId="3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6" fontId="6" numFmtId="0" xfId="0" applyAlignment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2" fillId="0" fontId="7" numFmtId="0" xfId="0" applyAlignment="1" applyBorder="1" applyFont="1">
      <alignment horizontal="right" readingOrder="0" shrinkToFit="0" wrapText="1"/>
    </xf>
    <xf borderId="4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shrinkToFit="0" wrapText="1"/>
    </xf>
    <xf borderId="8" fillId="0" fontId="3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1" fillId="0" fontId="11" numFmtId="0" xfId="0" applyAlignment="1" applyBorder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15" numFmtId="0" xfId="0" applyAlignment="1" applyFont="1">
      <alignment horizontal="right" readingOrder="0" shrinkToFit="0" wrapText="1"/>
    </xf>
    <xf borderId="0" fillId="0" fontId="16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2" numFmtId="3" xfId="0" applyAlignment="1" applyFont="1" applyNumberFormat="1">
      <alignment readingOrder="0"/>
    </xf>
    <xf borderId="0" fillId="0" fontId="12" numFmtId="49" xfId="0" applyAlignment="1" applyFont="1" applyNumberFormat="1">
      <alignment readingOrder="0"/>
    </xf>
    <xf borderId="0" fillId="0" fontId="12" numFmtId="4" xfId="0" applyAlignment="1" applyFont="1" applyNumberFormat="1">
      <alignment readingOrder="0"/>
    </xf>
    <xf borderId="0" fillId="0" fontId="12" numFmtId="0" xfId="0" applyFont="1"/>
    <xf borderId="0" fillId="0" fontId="3" numFmtId="3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3" xfId="0" applyFont="1" applyNumberFormat="1"/>
    <xf borderId="0" fillId="0" fontId="3" numFmtId="4" xfId="0" applyFont="1" applyNumberFormat="1"/>
    <xf borderId="0" fillId="0" fontId="3" numFmtId="49" xfId="0" applyAlignment="1" applyFont="1" applyNumberFormat="1">
      <alignment horizontal="left"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21.75"/>
    <col customWidth="1" min="4" max="4" width="26.88"/>
    <col customWidth="1" min="5" max="5" width="19.25"/>
    <col customWidth="1" min="7" max="7" width="27.38"/>
    <col customWidth="1" min="10" max="10" width="20.38"/>
  </cols>
  <sheetData>
    <row r="1">
      <c r="A1" s="1" t="s">
        <v>0</v>
      </c>
    </row>
    <row r="2">
      <c r="A2" s="2"/>
      <c r="B2" s="3"/>
      <c r="D2" s="4"/>
    </row>
    <row r="3">
      <c r="A3" s="2"/>
      <c r="B3" s="3"/>
      <c r="D3" s="4"/>
    </row>
    <row r="4">
      <c r="A4" s="5" t="s">
        <v>1</v>
      </c>
      <c r="B4" s="6">
        <f>YEAR(TODAY())-1</f>
        <v>2025</v>
      </c>
      <c r="D4" s="4" t="s">
        <v>2</v>
      </c>
    </row>
    <row r="6">
      <c r="A6" s="7" t="s">
        <v>3</v>
      </c>
    </row>
    <row r="8">
      <c r="A8" s="8" t="s">
        <v>4</v>
      </c>
      <c r="B8" s="9">
        <f>B4</f>
        <v>2025</v>
      </c>
      <c r="D8" s="8" t="s">
        <v>4</v>
      </c>
      <c r="E8" s="9">
        <f>B4+1</f>
        <v>2026</v>
      </c>
    </row>
    <row r="9">
      <c r="A9" s="8" t="s">
        <v>5</v>
      </c>
      <c r="B9" s="9">
        <f>'Appartement 1'!B83+'Appartement 2'!B83</f>
        <v>8325</v>
      </c>
      <c r="D9" s="8" t="s">
        <v>5</v>
      </c>
      <c r="E9" s="9">
        <f>'Appartement 1'!E83+'Appartement 2'!E83</f>
        <v>8325</v>
      </c>
    </row>
    <row r="10">
      <c r="A10" s="8" t="s">
        <v>6</v>
      </c>
      <c r="B10" s="10">
        <f>'Appartement 1'!B84+'Appartement 2'!B84</f>
        <v>16000</v>
      </c>
      <c r="D10" s="8" t="s">
        <v>6</v>
      </c>
      <c r="E10" s="11">
        <f>'Appartement 1'!E84+'Appartement 2'!E84</f>
        <v>16000</v>
      </c>
    </row>
    <row r="11">
      <c r="A11" s="8" t="s">
        <v>7</v>
      </c>
      <c r="B11" s="10">
        <f>'Appartement 1'!B85+'Appartement 2'!B85</f>
        <v>20400</v>
      </c>
      <c r="D11" s="8" t="s">
        <v>7</v>
      </c>
      <c r="E11" s="11">
        <f>'Appartement 1'!E85+'Appartement 2'!E85</f>
        <v>2400</v>
      </c>
    </row>
    <row r="12">
      <c r="A12" s="8" t="s">
        <v>8</v>
      </c>
      <c r="B12" s="10">
        <f>'Appartement 1'!B86+'Appartement 2'!B86</f>
        <v>0</v>
      </c>
      <c r="D12" s="8" t="s">
        <v>8</v>
      </c>
      <c r="E12" s="11">
        <f>'Appartement 1'!E86+'Appartement 2'!E86</f>
        <v>0</v>
      </c>
      <c r="F12" s="4"/>
    </row>
    <row r="13">
      <c r="A13" s="8" t="s">
        <v>9</v>
      </c>
      <c r="B13" s="10">
        <f>'Appartement 1'!B87+'Appartement 2'!B87</f>
        <v>6000</v>
      </c>
      <c r="D13" s="8" t="s">
        <v>9</v>
      </c>
      <c r="E13" s="11">
        <f>'Appartement 1'!E87+'Appartement 2'!E87</f>
        <v>6000</v>
      </c>
    </row>
    <row r="14">
      <c r="A14" s="8" t="s">
        <v>10</v>
      </c>
      <c r="B14" s="9">
        <f>B10-B11-B12-B13</f>
        <v>-10400</v>
      </c>
      <c r="D14" s="8" t="s">
        <v>11</v>
      </c>
      <c r="E14" s="9">
        <f>E10-E11-E12-E13</f>
        <v>7600</v>
      </c>
    </row>
    <row r="15">
      <c r="A15" s="8" t="s">
        <v>12</v>
      </c>
      <c r="B15" s="9">
        <f>IF(B14&lt;0,-B14,0)</f>
        <v>10400</v>
      </c>
      <c r="D15" s="8" t="s">
        <v>12</v>
      </c>
      <c r="E15" s="9">
        <f>IF(E14&lt;0,-E14,0)</f>
        <v>0</v>
      </c>
    </row>
    <row r="16">
      <c r="A16" s="8" t="s">
        <v>13</v>
      </c>
      <c r="B16" s="12">
        <f>B14-B9</f>
        <v>-18725</v>
      </c>
      <c r="D16" s="8" t="s">
        <v>14</v>
      </c>
      <c r="E16" s="12">
        <f>E14-E9</f>
        <v>-725</v>
      </c>
    </row>
    <row r="17">
      <c r="A17" s="8" t="s">
        <v>15</v>
      </c>
      <c r="B17" s="9">
        <f>MIN(B9 , MAX(0 , B9 - B14))</f>
        <v>8325</v>
      </c>
      <c r="C17" s="13">
        <f>max(0-B16-B15)</f>
        <v>8325</v>
      </c>
      <c r="D17" s="8" t="s">
        <v>16</v>
      </c>
      <c r="E17" s="9">
        <f>MIN(E9 , MAX(0 , E9 - E14))</f>
        <v>725</v>
      </c>
    </row>
    <row r="18">
      <c r="A18" s="8" t="s">
        <v>17</v>
      </c>
      <c r="B18" s="8">
        <f>B17+B16</f>
        <v>-10400</v>
      </c>
      <c r="D18" s="8" t="s">
        <v>17</v>
      </c>
      <c r="E18" s="8">
        <f>E17+E16</f>
        <v>0</v>
      </c>
    </row>
    <row r="19">
      <c r="A19" s="8" t="s">
        <v>18</v>
      </c>
      <c r="B19" s="10">
        <f>'Appartement 1'!B93+'Appartement 2'!B933</f>
        <v>0</v>
      </c>
      <c r="D19" s="8" t="s">
        <v>19</v>
      </c>
      <c r="E19" s="10">
        <f>B22</f>
        <v>8325</v>
      </c>
      <c r="F19" s="4"/>
    </row>
    <row r="20">
      <c r="A20" s="8" t="s">
        <v>20</v>
      </c>
      <c r="B20" s="9">
        <f>IF(B16&lt;=0,0,MIN(B16,B19))</f>
        <v>0</v>
      </c>
      <c r="D20" s="8" t="s">
        <v>21</v>
      </c>
      <c r="E20" s="9">
        <f>IF(E16&lt;=0,0,MIN(E16,E19))</f>
        <v>0</v>
      </c>
    </row>
    <row r="21">
      <c r="A21" s="8" t="s">
        <v>22</v>
      </c>
      <c r="B21" s="9">
        <f>B19-B20</f>
        <v>0</v>
      </c>
      <c r="D21" s="8" t="s">
        <v>23</v>
      </c>
      <c r="E21" s="9">
        <f>E19-E20</f>
        <v>8325</v>
      </c>
    </row>
    <row r="22">
      <c r="A22" s="8" t="s">
        <v>24</v>
      </c>
      <c r="B22" s="9">
        <f>B21+B17</f>
        <v>8325</v>
      </c>
      <c r="D22" s="8" t="s">
        <v>25</v>
      </c>
      <c r="E22" s="9">
        <f>E21+E17</f>
        <v>9050</v>
      </c>
    </row>
    <row r="23">
      <c r="A23" s="14" t="s">
        <v>26</v>
      </c>
      <c r="B23" s="9">
        <f>B18-B20</f>
        <v>-10400</v>
      </c>
      <c r="D23" s="14" t="s">
        <v>26</v>
      </c>
      <c r="E23" s="9">
        <f>E18-E20</f>
        <v>0</v>
      </c>
    </row>
    <row r="24">
      <c r="A24" s="8" t="s">
        <v>27</v>
      </c>
      <c r="B24" s="10">
        <v>0.0</v>
      </c>
      <c r="D24" s="8" t="s">
        <v>28</v>
      </c>
      <c r="E24" s="10">
        <f>B27</f>
        <v>10400</v>
      </c>
      <c r="F24" s="4"/>
    </row>
    <row r="25">
      <c r="A25" s="8" t="s">
        <v>29</v>
      </c>
      <c r="B25" s="9">
        <f>IF(B23&lt;=0,0,MIN(B23,B24))</f>
        <v>0</v>
      </c>
      <c r="D25" s="8" t="s">
        <v>30</v>
      </c>
      <c r="E25" s="9">
        <f>IF(E23&lt;=0,0,MIN(E23,E24))</f>
        <v>0</v>
      </c>
    </row>
    <row r="26">
      <c r="A26" s="8" t="s">
        <v>31</v>
      </c>
      <c r="B26" s="9">
        <f>B24+B25</f>
        <v>0</v>
      </c>
      <c r="D26" s="8" t="s">
        <v>31</v>
      </c>
      <c r="E26" s="9">
        <f>E24+E25</f>
        <v>10400</v>
      </c>
    </row>
    <row r="27">
      <c r="A27" s="8" t="s">
        <v>32</v>
      </c>
      <c r="B27" s="9">
        <f>B26+B15</f>
        <v>10400</v>
      </c>
      <c r="D27" s="8" t="s">
        <v>32</v>
      </c>
      <c r="E27" s="9">
        <f>E26+E15</f>
        <v>10400</v>
      </c>
    </row>
    <row r="28">
      <c r="A28" s="14" t="s">
        <v>33</v>
      </c>
      <c r="B28" s="9">
        <f>B23-B25</f>
        <v>-10400</v>
      </c>
      <c r="D28" s="14" t="s">
        <v>33</v>
      </c>
      <c r="E28" s="9">
        <f>E23-E25</f>
        <v>0</v>
      </c>
    </row>
    <row r="29">
      <c r="A29" s="8" t="s">
        <v>34</v>
      </c>
      <c r="B29" s="10">
        <v>0.0</v>
      </c>
      <c r="D29" s="8" t="s">
        <v>34</v>
      </c>
      <c r="E29" s="10">
        <f>B30</f>
        <v>0</v>
      </c>
      <c r="F29" s="4"/>
    </row>
    <row r="30">
      <c r="A30" s="8" t="s">
        <v>35</v>
      </c>
      <c r="B30" s="9">
        <f>Max(0,B10-B11-B12-B13)+B29</f>
        <v>0</v>
      </c>
      <c r="D30" s="8" t="s">
        <v>35</v>
      </c>
      <c r="E30" s="9">
        <f>Max(0,E10-E11-E12-E13)+E29</f>
        <v>7600</v>
      </c>
    </row>
    <row r="31">
      <c r="A31" s="15"/>
    </row>
    <row r="32">
      <c r="A32" s="15"/>
    </row>
    <row r="33">
      <c r="A33" s="16" t="s">
        <v>36</v>
      </c>
    </row>
    <row r="34">
      <c r="A34" s="4" t="s">
        <v>4</v>
      </c>
      <c r="B34" s="13">
        <f>B4</f>
        <v>2025</v>
      </c>
      <c r="I34" s="4" t="s">
        <v>4</v>
      </c>
      <c r="J34" s="13">
        <f>B4+1</f>
        <v>2026</v>
      </c>
    </row>
    <row r="35">
      <c r="A35" s="9"/>
      <c r="B35" s="17" t="s">
        <v>37</v>
      </c>
      <c r="C35" s="18" t="s">
        <v>38</v>
      </c>
      <c r="D35" s="19"/>
      <c r="E35" s="20" t="s">
        <v>39</v>
      </c>
      <c r="F35" s="19"/>
      <c r="G35" s="21" t="s">
        <v>40</v>
      </c>
      <c r="H35" s="22"/>
      <c r="I35" s="9"/>
      <c r="J35" s="17" t="s">
        <v>37</v>
      </c>
      <c r="K35" s="18" t="s">
        <v>38</v>
      </c>
      <c r="L35" s="19"/>
      <c r="M35" s="20" t="s">
        <v>39</v>
      </c>
      <c r="N35" s="19"/>
      <c r="O35" s="21" t="s">
        <v>40</v>
      </c>
    </row>
    <row r="36">
      <c r="A36" s="23" t="s">
        <v>41</v>
      </c>
      <c r="B36" s="24" t="s">
        <v>42</v>
      </c>
      <c r="C36" s="24" t="s">
        <v>43</v>
      </c>
      <c r="D36" s="25">
        <f>'Appartement 1'!D110+'Appartement 2'!D108</f>
        <v>300000</v>
      </c>
      <c r="E36" s="24" t="s">
        <v>44</v>
      </c>
      <c r="F36" s="25">
        <f>'Appartement 1'!F110+'Appartement 2'!F108</f>
        <v>8325</v>
      </c>
      <c r="G36" s="25">
        <f>D36-F36</f>
        <v>291675</v>
      </c>
      <c r="H36" s="22"/>
      <c r="I36" s="23" t="s">
        <v>41</v>
      </c>
      <c r="J36" s="24" t="s">
        <v>42</v>
      </c>
      <c r="K36" s="24" t="s">
        <v>43</v>
      </c>
      <c r="L36" s="25">
        <f>D36</f>
        <v>300000</v>
      </c>
      <c r="M36" s="24" t="s">
        <v>44</v>
      </c>
      <c r="N36" s="25">
        <f>'Appartement 1'!N110+'Appartement 2'!N108</f>
        <v>16650</v>
      </c>
      <c r="O36" s="25">
        <f>L36-N36</f>
        <v>283350</v>
      </c>
    </row>
    <row r="37">
      <c r="A37" s="26"/>
      <c r="B37" s="24" t="s">
        <v>45</v>
      </c>
      <c r="C37" s="24" t="s">
        <v>46</v>
      </c>
      <c r="D37" s="24">
        <v>0.0</v>
      </c>
      <c r="E37" s="24" t="s">
        <v>47</v>
      </c>
      <c r="F37" s="24">
        <v>0.0</v>
      </c>
      <c r="G37" s="24">
        <v>0.0</v>
      </c>
      <c r="H37" s="22"/>
      <c r="I37" s="26"/>
      <c r="J37" s="24" t="s">
        <v>45</v>
      </c>
      <c r="K37" s="24" t="s">
        <v>46</v>
      </c>
      <c r="L37" s="24">
        <v>0.0</v>
      </c>
      <c r="M37" s="24" t="s">
        <v>47</v>
      </c>
      <c r="N37" s="24">
        <v>0.0</v>
      </c>
      <c r="O37" s="24">
        <v>0.0</v>
      </c>
    </row>
    <row r="38">
      <c r="A38" s="27"/>
      <c r="B38" s="28" t="s">
        <v>48</v>
      </c>
      <c r="C38" s="24" t="s">
        <v>49</v>
      </c>
      <c r="D38" s="25">
        <f>D36+D37</f>
        <v>300000</v>
      </c>
      <c r="E38" s="24" t="s">
        <v>50</v>
      </c>
      <c r="F38" s="25">
        <f t="shared" ref="F38:G38" si="1">F36+F37</f>
        <v>8325</v>
      </c>
      <c r="G38" s="25">
        <f t="shared" si="1"/>
        <v>291675</v>
      </c>
      <c r="H38" s="22"/>
      <c r="I38" s="27"/>
      <c r="J38" s="28" t="s">
        <v>48</v>
      </c>
      <c r="K38" s="24" t="s">
        <v>49</v>
      </c>
      <c r="L38" s="25">
        <f>L36+L37</f>
        <v>300000</v>
      </c>
      <c r="M38" s="24" t="s">
        <v>50</v>
      </c>
      <c r="N38" s="25">
        <f t="shared" ref="N38:O38" si="2">N36+N37</f>
        <v>16650</v>
      </c>
      <c r="O38" s="25">
        <f t="shared" si="2"/>
        <v>283350</v>
      </c>
    </row>
    <row r="39">
      <c r="A39" s="23" t="s">
        <v>51</v>
      </c>
      <c r="B39" s="25"/>
      <c r="C39" s="25"/>
      <c r="D39" s="25"/>
      <c r="E39" s="25"/>
      <c r="F39" s="25"/>
      <c r="G39" s="25"/>
      <c r="H39" s="22"/>
      <c r="I39" s="23" t="s">
        <v>51</v>
      </c>
      <c r="J39" s="25"/>
      <c r="K39" s="25"/>
      <c r="L39" s="25"/>
      <c r="M39" s="25"/>
      <c r="N39" s="25"/>
      <c r="O39" s="25"/>
    </row>
    <row r="40">
      <c r="A40" s="26"/>
      <c r="B40" s="24" t="s">
        <v>35</v>
      </c>
      <c r="C40" s="24" t="s">
        <v>52</v>
      </c>
      <c r="D40" s="25">
        <f>B30</f>
        <v>0</v>
      </c>
      <c r="E40" s="25"/>
      <c r="F40" s="25"/>
      <c r="G40" s="25">
        <f>D40</f>
        <v>0</v>
      </c>
      <c r="H40" s="22"/>
      <c r="I40" s="26"/>
      <c r="J40" s="24" t="s">
        <v>35</v>
      </c>
      <c r="K40" s="24" t="s">
        <v>52</v>
      </c>
      <c r="L40" s="25" t="str">
        <f>J30</f>
        <v/>
      </c>
      <c r="M40" s="25"/>
      <c r="N40" s="25"/>
      <c r="O40" s="25" t="str">
        <f>L40</f>
        <v/>
      </c>
    </row>
    <row r="41">
      <c r="A41" s="27"/>
      <c r="B41" s="25"/>
      <c r="C41" s="25"/>
      <c r="D41" s="25"/>
      <c r="E41" s="25"/>
      <c r="F41" s="25"/>
      <c r="G41" s="25"/>
      <c r="H41" s="22"/>
      <c r="I41" s="27"/>
      <c r="J41" s="25"/>
      <c r="K41" s="25"/>
      <c r="L41" s="25"/>
      <c r="M41" s="25"/>
      <c r="N41" s="25"/>
      <c r="O41" s="25"/>
    </row>
    <row r="42">
      <c r="A42" s="29" t="s">
        <v>48</v>
      </c>
      <c r="B42" s="19"/>
      <c r="C42" s="28" t="s">
        <v>53</v>
      </c>
      <c r="D42" s="30">
        <f>D38+D40</f>
        <v>300000</v>
      </c>
      <c r="E42" s="28" t="s">
        <v>54</v>
      </c>
      <c r="F42" s="30">
        <f>F38</f>
        <v>8325</v>
      </c>
      <c r="G42" s="30">
        <f>G38+G40</f>
        <v>291675</v>
      </c>
      <c r="H42" s="22"/>
      <c r="I42" s="29" t="s">
        <v>48</v>
      </c>
      <c r="J42" s="19"/>
      <c r="K42" s="28" t="s">
        <v>53</v>
      </c>
      <c r="L42" s="30">
        <f>L38+L40</f>
        <v>300000</v>
      </c>
      <c r="M42" s="28" t="s">
        <v>54</v>
      </c>
      <c r="N42" s="30">
        <f>N38</f>
        <v>16650</v>
      </c>
      <c r="O42" s="30">
        <f>O38+O40</f>
        <v>283350</v>
      </c>
    </row>
    <row r="43">
      <c r="A43" s="9"/>
      <c r="B43" s="17" t="s">
        <v>55</v>
      </c>
      <c r="C43" s="31"/>
      <c r="D43" s="32"/>
      <c r="E43" s="32"/>
      <c r="F43" s="19"/>
      <c r="G43" s="21" t="s">
        <v>40</v>
      </c>
      <c r="H43" s="22"/>
      <c r="I43" s="9"/>
      <c r="J43" s="17" t="s">
        <v>55</v>
      </c>
      <c r="K43" s="31"/>
      <c r="L43" s="32"/>
      <c r="M43" s="32"/>
      <c r="N43" s="19"/>
      <c r="O43" s="21" t="s">
        <v>40</v>
      </c>
    </row>
    <row r="44">
      <c r="A44" s="9"/>
      <c r="B44" s="24" t="s">
        <v>56</v>
      </c>
      <c r="C44" s="24" t="s">
        <v>57</v>
      </c>
      <c r="D44" s="33"/>
      <c r="E44" s="34"/>
      <c r="F44" s="35"/>
      <c r="G44" s="25">
        <f>G42-G46-G48</f>
        <v>134400</v>
      </c>
      <c r="H44" s="22"/>
      <c r="I44" s="9"/>
      <c r="J44" s="24" t="s">
        <v>56</v>
      </c>
      <c r="K44" s="24" t="s">
        <v>57</v>
      </c>
      <c r="L44" s="33"/>
      <c r="M44" s="34"/>
      <c r="N44" s="35"/>
      <c r="O44" s="25">
        <f>O42-O46-O48</f>
        <v>124575</v>
      </c>
    </row>
    <row r="45">
      <c r="A45" s="9"/>
      <c r="B45" s="36"/>
      <c r="C45" s="19"/>
      <c r="D45" s="37"/>
      <c r="F45" s="38"/>
      <c r="G45" s="25"/>
      <c r="H45" s="22"/>
      <c r="I45" s="9"/>
      <c r="J45" s="36"/>
      <c r="K45" s="19"/>
      <c r="L45" s="37"/>
      <c r="N45" s="38"/>
      <c r="O45" s="25"/>
    </row>
    <row r="46">
      <c r="A46" s="9"/>
      <c r="B46" s="24" t="s">
        <v>58</v>
      </c>
      <c r="C46" s="24" t="s">
        <v>59</v>
      </c>
      <c r="D46" s="37"/>
      <c r="F46" s="38"/>
      <c r="G46" s="25">
        <f>B16</f>
        <v>-18725</v>
      </c>
      <c r="H46" s="22"/>
      <c r="I46" s="9"/>
      <c r="J46" s="24" t="s">
        <v>58</v>
      </c>
      <c r="K46" s="24" t="s">
        <v>59</v>
      </c>
      <c r="L46" s="37"/>
      <c r="N46" s="38"/>
      <c r="O46" s="25">
        <f>E16</f>
        <v>-725</v>
      </c>
    </row>
    <row r="47">
      <c r="A47" s="9"/>
      <c r="B47" s="36"/>
      <c r="C47" s="19"/>
      <c r="D47" s="37"/>
      <c r="F47" s="38"/>
      <c r="G47" s="25"/>
      <c r="H47" s="22"/>
      <c r="I47" s="9"/>
      <c r="J47" s="36"/>
      <c r="K47" s="19"/>
      <c r="L47" s="37"/>
      <c r="N47" s="38"/>
      <c r="O47" s="25"/>
    </row>
    <row r="48">
      <c r="A48" s="9"/>
      <c r="B48" s="24" t="s">
        <v>60</v>
      </c>
      <c r="C48" s="24" t="s">
        <v>61</v>
      </c>
      <c r="D48" s="37"/>
      <c r="F48" s="38"/>
      <c r="G48" s="39">
        <f>'Appartement 1'!G122 +'Appartement 2'!G120</f>
        <v>176000</v>
      </c>
      <c r="H48" s="22"/>
      <c r="I48" s="9"/>
      <c r="J48" s="24" t="s">
        <v>60</v>
      </c>
      <c r="K48" s="24" t="s">
        <v>61</v>
      </c>
      <c r="L48" s="37"/>
      <c r="N48" s="38"/>
      <c r="O48" s="39">
        <f>'Appartement 1'!O122+'Appartement 2'!O120</f>
        <v>159500</v>
      </c>
    </row>
    <row r="49">
      <c r="A49" s="9"/>
      <c r="B49" s="24" t="s">
        <v>62</v>
      </c>
      <c r="C49" s="24" t="s">
        <v>63</v>
      </c>
      <c r="D49" s="37"/>
      <c r="F49" s="38"/>
      <c r="G49" s="25">
        <f>G48</f>
        <v>176000</v>
      </c>
      <c r="H49" s="22"/>
      <c r="I49" s="9"/>
      <c r="J49" s="24" t="s">
        <v>62</v>
      </c>
      <c r="K49" s="24" t="s">
        <v>63</v>
      </c>
      <c r="L49" s="37"/>
      <c r="N49" s="38"/>
      <c r="O49" s="25">
        <f>O48</f>
        <v>159500</v>
      </c>
    </row>
    <row r="50">
      <c r="A50" s="9"/>
      <c r="B50" s="24" t="s">
        <v>64</v>
      </c>
      <c r="C50" s="24" t="s">
        <v>65</v>
      </c>
      <c r="D50" s="40"/>
      <c r="E50" s="41"/>
      <c r="F50" s="42"/>
      <c r="G50" s="30">
        <f>SUM(G44:G48)</f>
        <v>291675</v>
      </c>
      <c r="H50" s="22"/>
      <c r="I50" s="9"/>
      <c r="J50" s="24" t="s">
        <v>64</v>
      </c>
      <c r="K50" s="24" t="s">
        <v>65</v>
      </c>
      <c r="L50" s="40"/>
      <c r="M50" s="41"/>
      <c r="N50" s="42"/>
      <c r="O50" s="30">
        <f>SUM(O44:O48)</f>
        <v>283350</v>
      </c>
    </row>
    <row r="52">
      <c r="A52" s="16" t="s">
        <v>66</v>
      </c>
      <c r="E52" s="43" t="s">
        <v>67</v>
      </c>
      <c r="F52" s="44" t="str">
        <f> IF(((B14 - B9) + C67)=B28,"C'est bon","C'est pas bon")</f>
        <v>C'est bon</v>
      </c>
      <c r="J52" s="43" t="s">
        <v>67</v>
      </c>
      <c r="K52" s="44" t="str">
        <f> IF(((E14 - E9) + I67)=E28,"C'est bon","C'est pas bon")</f>
        <v>C'est bon</v>
      </c>
    </row>
    <row r="53">
      <c r="B53" s="13">
        <f>B4</f>
        <v>2025</v>
      </c>
      <c r="H53" s="13">
        <f>B4+1</f>
        <v>2026</v>
      </c>
    </row>
    <row r="54">
      <c r="A54" s="45" t="s">
        <v>68</v>
      </c>
      <c r="B54" s="46"/>
      <c r="C54" s="32"/>
      <c r="D54" s="32"/>
      <c r="E54" s="19"/>
      <c r="G54" s="45" t="s">
        <v>68</v>
      </c>
      <c r="H54" s="46"/>
      <c r="I54" s="32"/>
      <c r="J54" s="32"/>
      <c r="K54" s="19"/>
    </row>
    <row r="55">
      <c r="A55" s="8" t="s">
        <v>69</v>
      </c>
      <c r="B55" s="8" t="s">
        <v>70</v>
      </c>
      <c r="C55" s="9">
        <f>B10</f>
        <v>16000</v>
      </c>
      <c r="D55" s="47"/>
      <c r="E55" s="35"/>
      <c r="G55" s="8" t="s">
        <v>69</v>
      </c>
      <c r="H55" s="8" t="s">
        <v>70</v>
      </c>
      <c r="I55" s="9">
        <f>E10</f>
        <v>16000</v>
      </c>
      <c r="J55" s="47"/>
      <c r="K55" s="35"/>
    </row>
    <row r="56">
      <c r="A56" s="8" t="s">
        <v>71</v>
      </c>
      <c r="B56" s="8" t="s">
        <v>72</v>
      </c>
      <c r="C56" s="9">
        <f>C55</f>
        <v>16000</v>
      </c>
      <c r="D56" s="37"/>
      <c r="E56" s="38"/>
      <c r="G56" s="8" t="s">
        <v>71</v>
      </c>
      <c r="H56" s="8" t="s">
        <v>72</v>
      </c>
      <c r="I56" s="9">
        <f>I55</f>
        <v>16000</v>
      </c>
      <c r="J56" s="37"/>
      <c r="K56" s="38"/>
    </row>
    <row r="57">
      <c r="A57" s="8" t="s">
        <v>73</v>
      </c>
      <c r="B57" s="8" t="s">
        <v>74</v>
      </c>
      <c r="C57" s="9">
        <f t="shared" ref="C57:C58" si="3">B11</f>
        <v>20400</v>
      </c>
      <c r="D57" s="37"/>
      <c r="E57" s="38"/>
      <c r="G57" s="8" t="s">
        <v>73</v>
      </c>
      <c r="H57" s="8" t="s">
        <v>74</v>
      </c>
      <c r="I57" s="9">
        <f t="shared" ref="I57:I58" si="4">E11</f>
        <v>2400</v>
      </c>
      <c r="J57" s="37"/>
      <c r="K57" s="38"/>
    </row>
    <row r="58">
      <c r="A58" s="8" t="s">
        <v>75</v>
      </c>
      <c r="B58" s="8" t="s">
        <v>76</v>
      </c>
      <c r="C58" s="9">
        <f t="shared" si="3"/>
        <v>0</v>
      </c>
      <c r="D58" s="37"/>
      <c r="E58" s="38"/>
      <c r="G58" s="8" t="s">
        <v>75</v>
      </c>
      <c r="H58" s="8" t="s">
        <v>76</v>
      </c>
      <c r="I58" s="9">
        <f t="shared" si="4"/>
        <v>0</v>
      </c>
      <c r="J58" s="37"/>
      <c r="K58" s="38"/>
    </row>
    <row r="59">
      <c r="A59" s="8" t="s">
        <v>77</v>
      </c>
      <c r="B59" s="8" t="s">
        <v>78</v>
      </c>
      <c r="C59" s="9">
        <f>B9</f>
        <v>8325</v>
      </c>
      <c r="D59" s="37"/>
      <c r="E59" s="38"/>
      <c r="G59" s="8" t="s">
        <v>77</v>
      </c>
      <c r="H59" s="8" t="s">
        <v>78</v>
      </c>
      <c r="I59" s="9">
        <f>E9</f>
        <v>8325</v>
      </c>
      <c r="J59" s="37"/>
      <c r="K59" s="38"/>
    </row>
    <row r="60">
      <c r="A60" s="8" t="s">
        <v>79</v>
      </c>
      <c r="B60" s="8" t="s">
        <v>80</v>
      </c>
      <c r="C60" s="9">
        <f>SUM(C57:C59)</f>
        <v>28725</v>
      </c>
      <c r="D60" s="37"/>
      <c r="E60" s="38"/>
      <c r="G60" s="8" t="s">
        <v>79</v>
      </c>
      <c r="H60" s="8" t="s">
        <v>80</v>
      </c>
      <c r="I60" s="9">
        <f>SUM(I57:I59)</f>
        <v>10725</v>
      </c>
      <c r="J60" s="37"/>
      <c r="K60" s="38"/>
    </row>
    <row r="61">
      <c r="A61" s="8" t="s">
        <v>81</v>
      </c>
      <c r="B61" s="8" t="s">
        <v>82</v>
      </c>
      <c r="C61" s="9">
        <f>C56-C60</f>
        <v>-12725</v>
      </c>
      <c r="D61" s="37"/>
      <c r="E61" s="38"/>
      <c r="G61" s="8" t="s">
        <v>81</v>
      </c>
      <c r="H61" s="8" t="s">
        <v>82</v>
      </c>
      <c r="I61" s="9">
        <f>I56-I60</f>
        <v>5275</v>
      </c>
      <c r="J61" s="37"/>
      <c r="K61" s="38"/>
    </row>
    <row r="62">
      <c r="A62" s="8" t="s">
        <v>83</v>
      </c>
      <c r="B62" s="8" t="s">
        <v>84</v>
      </c>
      <c r="C62" s="9">
        <f>B13</f>
        <v>6000</v>
      </c>
      <c r="D62" s="37"/>
      <c r="E62" s="38"/>
      <c r="G62" s="8" t="s">
        <v>83</v>
      </c>
      <c r="H62" s="8" t="s">
        <v>84</v>
      </c>
      <c r="I62" s="9">
        <f>E13</f>
        <v>6000</v>
      </c>
      <c r="J62" s="37"/>
      <c r="K62" s="38"/>
    </row>
    <row r="63">
      <c r="A63" s="8" t="s">
        <v>85</v>
      </c>
      <c r="B63" s="8" t="s">
        <v>86</v>
      </c>
      <c r="C63" s="9">
        <f>B16</f>
        <v>-18725</v>
      </c>
      <c r="D63" s="40"/>
      <c r="E63" s="42"/>
      <c r="G63" s="8" t="s">
        <v>85</v>
      </c>
      <c r="H63" s="8" t="s">
        <v>86</v>
      </c>
      <c r="I63" s="9">
        <f>E16</f>
        <v>-725</v>
      </c>
      <c r="J63" s="40"/>
      <c r="K63" s="42"/>
    </row>
    <row r="64">
      <c r="A64" s="48" t="s">
        <v>87</v>
      </c>
      <c r="B64" s="46"/>
      <c r="C64" s="32"/>
      <c r="D64" s="32"/>
      <c r="E64" s="19"/>
      <c r="G64" s="48" t="s">
        <v>87</v>
      </c>
      <c r="H64" s="46"/>
      <c r="I64" s="32"/>
      <c r="J64" s="32"/>
      <c r="K64" s="19"/>
    </row>
    <row r="65">
      <c r="A65" s="8" t="s">
        <v>88</v>
      </c>
      <c r="B65" s="8" t="s">
        <v>89</v>
      </c>
      <c r="C65" s="9">
        <f>Max(0,C63)</f>
        <v>0</v>
      </c>
      <c r="D65" s="8" t="s">
        <v>90</v>
      </c>
      <c r="E65" s="9">
        <f>-MIN(0,C63)</f>
        <v>18725</v>
      </c>
      <c r="G65" s="8" t="s">
        <v>88</v>
      </c>
      <c r="H65" s="8" t="s">
        <v>89</v>
      </c>
      <c r="I65" s="9">
        <f>Max(0,I63)</f>
        <v>0</v>
      </c>
      <c r="J65" s="8" t="s">
        <v>90</v>
      </c>
      <c r="K65" s="9">
        <f>-MIN(0,I63)</f>
        <v>725</v>
      </c>
    </row>
    <row r="66">
      <c r="A66" s="8" t="s">
        <v>91</v>
      </c>
      <c r="B66" s="8" t="s">
        <v>92</v>
      </c>
      <c r="C66" s="9">
        <f>B17</f>
        <v>8325</v>
      </c>
      <c r="D66" s="8" t="s">
        <v>93</v>
      </c>
      <c r="E66" s="9">
        <f>IF(B14 &gt; 0 , MIN(B14 , B9) , 0)</f>
        <v>0</v>
      </c>
      <c r="G66" s="8" t="s">
        <v>91</v>
      </c>
      <c r="H66" s="8" t="s">
        <v>92</v>
      </c>
      <c r="I66" s="9">
        <f>E17</f>
        <v>725</v>
      </c>
      <c r="J66" s="8" t="s">
        <v>93</v>
      </c>
      <c r="K66" s="9">
        <f>IF(E14 &gt; 0 , MIN(E14 , E9) , 0)</f>
        <v>7600</v>
      </c>
    </row>
    <row r="67">
      <c r="A67" s="14" t="s">
        <v>94</v>
      </c>
      <c r="B67" s="8" t="s">
        <v>95</v>
      </c>
      <c r="C67" s="9">
        <f>B17</f>
        <v>8325</v>
      </c>
      <c r="D67" s="8" t="s">
        <v>96</v>
      </c>
      <c r="E67" s="9">
        <f>IF(B14 &lt; 0 , ABS(B14) , 0)</f>
        <v>10400</v>
      </c>
      <c r="G67" s="14" t="s">
        <v>94</v>
      </c>
      <c r="H67" s="8" t="s">
        <v>95</v>
      </c>
      <c r="I67" s="9">
        <f>E17</f>
        <v>725</v>
      </c>
      <c r="J67" s="8" t="s">
        <v>96</v>
      </c>
      <c r="K67" s="9">
        <f>IF(E14 &lt; 0 , ABS(E14) , 0)</f>
        <v>0</v>
      </c>
    </row>
    <row r="68">
      <c r="A68" s="8" t="s">
        <v>97</v>
      </c>
      <c r="B68" s="8" t="s">
        <v>98</v>
      </c>
      <c r="C68" s="9">
        <f>IF(B23&gt;0,B23,0)</f>
        <v>0</v>
      </c>
      <c r="D68" s="8" t="s">
        <v>99</v>
      </c>
      <c r="E68" s="9">
        <f>IF(B23&lt;0,-B23,0)</f>
        <v>10400</v>
      </c>
      <c r="G68" s="8" t="s">
        <v>97</v>
      </c>
      <c r="H68" s="8" t="s">
        <v>98</v>
      </c>
      <c r="I68" s="9">
        <f>IF(E23&gt;0,E23,0)</f>
        <v>0</v>
      </c>
      <c r="J68" s="8" t="s">
        <v>99</v>
      </c>
      <c r="K68" s="9">
        <f>IF(E23&lt;0,-E23,0)</f>
        <v>0</v>
      </c>
    </row>
    <row r="69">
      <c r="A69" s="8" t="s">
        <v>100</v>
      </c>
      <c r="B69" s="8" t="s">
        <v>101</v>
      </c>
      <c r="C69" s="9">
        <f>MAX(0 , B14 - B9)</f>
        <v>0</v>
      </c>
      <c r="D69" s="8" t="s">
        <v>102</v>
      </c>
      <c r="E69" s="9">
        <f>IF(B28&lt;0,-B28,0)</f>
        <v>10400</v>
      </c>
      <c r="G69" s="8" t="s">
        <v>103</v>
      </c>
      <c r="H69" s="8" t="s">
        <v>101</v>
      </c>
      <c r="I69" s="9">
        <f>MAX(0 , E14 - E9)</f>
        <v>0</v>
      </c>
      <c r="J69" s="8" t="s">
        <v>102</v>
      </c>
      <c r="K69" s="9">
        <f>IF(E28&lt;0,-E28,0)</f>
        <v>0</v>
      </c>
    </row>
    <row r="71">
      <c r="A71" s="16" t="s">
        <v>104</v>
      </c>
    </row>
    <row r="72">
      <c r="A72" s="49" t="s">
        <v>105</v>
      </c>
    </row>
    <row r="74">
      <c r="A74" s="50" t="s">
        <v>106</v>
      </c>
      <c r="B74" s="51">
        <f>B4</f>
        <v>2025</v>
      </c>
      <c r="K74" s="50" t="s">
        <v>106</v>
      </c>
      <c r="L74" s="51">
        <f>B4+1</f>
        <v>2026</v>
      </c>
    </row>
    <row r="76">
      <c r="A76" s="9"/>
      <c r="B76" s="52" t="s">
        <v>107</v>
      </c>
      <c r="C76" s="19"/>
      <c r="D76" s="53" t="s">
        <v>108</v>
      </c>
      <c r="E76" s="19"/>
      <c r="F76" s="53" t="s">
        <v>109</v>
      </c>
      <c r="G76" s="19"/>
      <c r="H76" s="54" t="s">
        <v>110</v>
      </c>
      <c r="I76" s="19"/>
      <c r="K76" s="9"/>
      <c r="L76" s="52" t="s">
        <v>107</v>
      </c>
      <c r="M76" s="19"/>
      <c r="N76" s="53" t="s">
        <v>108</v>
      </c>
      <c r="O76" s="19"/>
      <c r="P76" s="53" t="s">
        <v>109</v>
      </c>
      <c r="Q76" s="19"/>
      <c r="R76" s="54" t="s">
        <v>110</v>
      </c>
      <c r="S76" s="19"/>
    </row>
    <row r="77">
      <c r="A77" s="8" t="s">
        <v>111</v>
      </c>
      <c r="B77" s="8" t="s">
        <v>112</v>
      </c>
      <c r="C77" s="8">
        <v>0.0</v>
      </c>
      <c r="D77" s="8" t="s">
        <v>113</v>
      </c>
      <c r="E77" s="9">
        <f>'Appartement 1'!E152+'Appartement 2'!E153</f>
        <v>45000</v>
      </c>
      <c r="F77" s="8" t="s">
        <v>114</v>
      </c>
      <c r="G77" s="8">
        <v>0.0</v>
      </c>
      <c r="H77" s="8" t="s">
        <v>115</v>
      </c>
      <c r="I77" s="9">
        <f t="shared" ref="I77:I82" si="5">C77+E77+G77</f>
        <v>45000</v>
      </c>
      <c r="K77" s="8" t="s">
        <v>111</v>
      </c>
      <c r="L77" s="8" t="s">
        <v>112</v>
      </c>
      <c r="M77" s="8">
        <f t="shared" ref="M77:M81" si="6">I77</f>
        <v>45000</v>
      </c>
      <c r="N77" s="8" t="s">
        <v>113</v>
      </c>
      <c r="O77" s="8">
        <v>0.0</v>
      </c>
      <c r="P77" s="8" t="s">
        <v>114</v>
      </c>
      <c r="Q77" s="8">
        <v>0.0</v>
      </c>
      <c r="R77" s="8" t="s">
        <v>115</v>
      </c>
      <c r="S77" s="9">
        <f t="shared" ref="S77:S82" si="7">M77+O77+Q77</f>
        <v>45000</v>
      </c>
    </row>
    <row r="78">
      <c r="A78" s="8" t="s">
        <v>116</v>
      </c>
      <c r="B78" s="8" t="s">
        <v>117</v>
      </c>
      <c r="C78" s="8">
        <v>0.0</v>
      </c>
      <c r="D78" s="8" t="s">
        <v>118</v>
      </c>
      <c r="E78" s="9">
        <f>'Appartement 1'!E153+'Appartement 2'!E154</f>
        <v>165000</v>
      </c>
      <c r="F78" s="8" t="s">
        <v>119</v>
      </c>
      <c r="G78" s="8">
        <v>0.0</v>
      </c>
      <c r="H78" s="8" t="s">
        <v>120</v>
      </c>
      <c r="I78" s="9">
        <f t="shared" si="5"/>
        <v>165000</v>
      </c>
      <c r="K78" s="8" t="s">
        <v>116</v>
      </c>
      <c r="L78" s="8" t="s">
        <v>117</v>
      </c>
      <c r="M78" s="8">
        <f t="shared" si="6"/>
        <v>165000</v>
      </c>
      <c r="N78" s="8" t="s">
        <v>118</v>
      </c>
      <c r="O78" s="8">
        <v>0.0</v>
      </c>
      <c r="P78" s="8" t="s">
        <v>119</v>
      </c>
      <c r="Q78" s="8">
        <v>0.0</v>
      </c>
      <c r="R78" s="8" t="s">
        <v>120</v>
      </c>
      <c r="S78" s="9">
        <f t="shared" si="7"/>
        <v>165000</v>
      </c>
    </row>
    <row r="79">
      <c r="A79" s="8" t="s">
        <v>121</v>
      </c>
      <c r="B79" s="8" t="s">
        <v>122</v>
      </c>
      <c r="C79" s="8">
        <v>0.0</v>
      </c>
      <c r="D79" s="8" t="s">
        <v>123</v>
      </c>
      <c r="E79" s="9">
        <f>'Appartement 1'!E154+'Appartement 2'!E155</f>
        <v>45000</v>
      </c>
      <c r="F79" s="8" t="s">
        <v>124</v>
      </c>
      <c r="G79" s="8">
        <v>0.0</v>
      </c>
      <c r="H79" s="8" t="s">
        <v>125</v>
      </c>
      <c r="I79" s="9">
        <f t="shared" si="5"/>
        <v>45000</v>
      </c>
      <c r="K79" s="8" t="s">
        <v>121</v>
      </c>
      <c r="L79" s="8" t="s">
        <v>122</v>
      </c>
      <c r="M79" s="8">
        <f t="shared" si="6"/>
        <v>45000</v>
      </c>
      <c r="N79" s="8" t="s">
        <v>123</v>
      </c>
      <c r="O79" s="8">
        <v>0.0</v>
      </c>
      <c r="P79" s="8" t="s">
        <v>124</v>
      </c>
      <c r="Q79" s="8">
        <v>0.0</v>
      </c>
      <c r="R79" s="8" t="s">
        <v>125</v>
      </c>
      <c r="S79" s="9">
        <f t="shared" si="7"/>
        <v>45000</v>
      </c>
    </row>
    <row r="80">
      <c r="A80" s="8" t="s">
        <v>126</v>
      </c>
      <c r="B80" s="8" t="s">
        <v>127</v>
      </c>
      <c r="C80" s="8">
        <v>0.0</v>
      </c>
      <c r="D80" s="8" t="s">
        <v>128</v>
      </c>
      <c r="E80" s="9">
        <f>'Appartement 1'!E155+'Appartement 2'!E156</f>
        <v>45000</v>
      </c>
      <c r="F80" s="8" t="s">
        <v>129</v>
      </c>
      <c r="G80" s="8">
        <v>0.0</v>
      </c>
      <c r="H80" s="8" t="s">
        <v>130</v>
      </c>
      <c r="I80" s="9">
        <f t="shared" si="5"/>
        <v>45000</v>
      </c>
      <c r="K80" s="8" t="s">
        <v>126</v>
      </c>
      <c r="L80" s="8" t="s">
        <v>127</v>
      </c>
      <c r="M80" s="8">
        <f t="shared" si="6"/>
        <v>45000</v>
      </c>
      <c r="N80" s="8" t="s">
        <v>128</v>
      </c>
      <c r="O80" s="8">
        <v>0.0</v>
      </c>
      <c r="P80" s="8" t="s">
        <v>129</v>
      </c>
      <c r="Q80" s="8">
        <v>0.0</v>
      </c>
      <c r="R80" s="8" t="s">
        <v>130</v>
      </c>
      <c r="S80" s="9">
        <f t="shared" si="7"/>
        <v>45000</v>
      </c>
    </row>
    <row r="81">
      <c r="A81" s="8" t="s">
        <v>131</v>
      </c>
      <c r="B81" s="8" t="s">
        <v>132</v>
      </c>
      <c r="C81" s="8">
        <v>0.0</v>
      </c>
      <c r="D81" s="8" t="s">
        <v>133</v>
      </c>
      <c r="E81" s="9">
        <f>'Appartement 1'!E156+'Appartement 2'!E157</f>
        <v>0</v>
      </c>
      <c r="F81" s="8" t="s">
        <v>134</v>
      </c>
      <c r="G81" s="8">
        <v>0.0</v>
      </c>
      <c r="H81" s="8" t="s">
        <v>135</v>
      </c>
      <c r="I81" s="9">
        <f t="shared" si="5"/>
        <v>0</v>
      </c>
      <c r="K81" s="8" t="s">
        <v>131</v>
      </c>
      <c r="L81" s="8" t="s">
        <v>132</v>
      </c>
      <c r="M81" s="8">
        <f t="shared" si="6"/>
        <v>0</v>
      </c>
      <c r="N81" s="8" t="s">
        <v>133</v>
      </c>
      <c r="O81" s="8">
        <v>0.0</v>
      </c>
      <c r="P81" s="8" t="s">
        <v>134</v>
      </c>
      <c r="Q81" s="8">
        <v>0.0</v>
      </c>
      <c r="R81" s="8" t="s">
        <v>135</v>
      </c>
      <c r="S81" s="9">
        <f t="shared" si="7"/>
        <v>0</v>
      </c>
    </row>
    <row r="82">
      <c r="A82" s="8" t="s">
        <v>136</v>
      </c>
      <c r="B82" s="8" t="s">
        <v>137</v>
      </c>
      <c r="C82" s="8">
        <v>0.0</v>
      </c>
      <c r="D82" s="8" t="s">
        <v>138</v>
      </c>
      <c r="E82" s="9">
        <f>'Appartement 1'!E157+'Appartement 2'!E158</f>
        <v>0</v>
      </c>
      <c r="F82" s="8" t="s">
        <v>139</v>
      </c>
      <c r="G82" s="8">
        <v>0.0</v>
      </c>
      <c r="H82" s="8" t="s">
        <v>140</v>
      </c>
      <c r="I82" s="9">
        <f t="shared" si="5"/>
        <v>0</v>
      </c>
      <c r="K82" s="8" t="s">
        <v>136</v>
      </c>
      <c r="L82" s="8" t="s">
        <v>137</v>
      </c>
      <c r="M82" s="8">
        <v>0.0</v>
      </c>
      <c r="N82" s="8" t="s">
        <v>138</v>
      </c>
      <c r="O82" s="8">
        <v>0.0</v>
      </c>
      <c r="P82" s="8" t="s">
        <v>139</v>
      </c>
      <c r="Q82" s="8">
        <v>0.0</v>
      </c>
      <c r="R82" s="8" t="s">
        <v>140</v>
      </c>
      <c r="S82" s="9">
        <f t="shared" si="7"/>
        <v>0</v>
      </c>
    </row>
    <row r="83">
      <c r="A83" s="8" t="s">
        <v>48</v>
      </c>
      <c r="B83" s="8" t="s">
        <v>141</v>
      </c>
      <c r="C83" s="8">
        <v>0.0</v>
      </c>
      <c r="D83" s="8" t="s">
        <v>142</v>
      </c>
      <c r="E83" s="9">
        <f>SUM(E77:E82)</f>
        <v>300000</v>
      </c>
      <c r="F83" s="8" t="s">
        <v>143</v>
      </c>
      <c r="G83" s="8">
        <v>0.0</v>
      </c>
      <c r="H83" s="8" t="s">
        <v>144</v>
      </c>
      <c r="I83" s="9">
        <f>SUM(I77:I82)</f>
        <v>300000</v>
      </c>
      <c r="K83" s="8" t="s">
        <v>48</v>
      </c>
      <c r="L83" s="8" t="s">
        <v>141</v>
      </c>
      <c r="M83" s="8">
        <f>SUM(M77:M82)</f>
        <v>300000</v>
      </c>
      <c r="N83" s="8" t="s">
        <v>142</v>
      </c>
      <c r="O83" s="8">
        <v>0.0</v>
      </c>
      <c r="P83" s="8" t="s">
        <v>143</v>
      </c>
      <c r="Q83" s="8">
        <v>0.0</v>
      </c>
      <c r="R83" s="8" t="s">
        <v>144</v>
      </c>
      <c r="S83" s="9">
        <f>SUM(S77:S82)</f>
        <v>300000</v>
      </c>
    </row>
    <row r="85">
      <c r="A85" s="55" t="s">
        <v>145</v>
      </c>
    </row>
    <row r="86">
      <c r="B86" s="13">
        <f>B4</f>
        <v>2025</v>
      </c>
      <c r="L86" s="13">
        <f>B4+1</f>
        <v>2026</v>
      </c>
    </row>
    <row r="87">
      <c r="A87" s="9"/>
      <c r="B87" s="52" t="s">
        <v>146</v>
      </c>
      <c r="C87" s="19"/>
      <c r="D87" s="56" t="s">
        <v>147</v>
      </c>
      <c r="E87" s="19"/>
      <c r="F87" s="56" t="s">
        <v>109</v>
      </c>
      <c r="G87" s="19"/>
      <c r="H87" s="54" t="s">
        <v>110</v>
      </c>
      <c r="I87" s="19"/>
      <c r="K87" s="9"/>
      <c r="L87" s="52" t="s">
        <v>146</v>
      </c>
      <c r="M87" s="19"/>
      <c r="N87" s="56" t="s">
        <v>147</v>
      </c>
      <c r="O87" s="19"/>
      <c r="P87" s="56" t="s">
        <v>109</v>
      </c>
      <c r="Q87" s="19"/>
      <c r="R87" s="54" t="s">
        <v>110</v>
      </c>
      <c r="S87" s="19"/>
    </row>
    <row r="88">
      <c r="A88" s="8" t="s">
        <v>148</v>
      </c>
      <c r="B88" s="8" t="s">
        <v>149</v>
      </c>
      <c r="C88" s="8">
        <v>0.0</v>
      </c>
      <c r="D88" s="8" t="s">
        <v>150</v>
      </c>
      <c r="E88" s="8">
        <v>0.0</v>
      </c>
      <c r="F88" s="8" t="s">
        <v>151</v>
      </c>
      <c r="G88" s="8">
        <v>0.0</v>
      </c>
      <c r="H88" s="8" t="s">
        <v>152</v>
      </c>
      <c r="I88" s="9">
        <f t="shared" ref="I88:I93" si="8">C88+E88+G88</f>
        <v>0</v>
      </c>
      <c r="K88" s="8" t="s">
        <v>148</v>
      </c>
      <c r="L88" s="8" t="s">
        <v>149</v>
      </c>
      <c r="M88" s="8">
        <f t="shared" ref="M88:M93" si="9">I88</f>
        <v>0</v>
      </c>
      <c r="N88" s="8" t="s">
        <v>150</v>
      </c>
      <c r="O88" s="8">
        <v>0.0</v>
      </c>
      <c r="P88" s="8" t="s">
        <v>151</v>
      </c>
      <c r="Q88" s="8">
        <v>0.0</v>
      </c>
      <c r="R88" s="8" t="s">
        <v>152</v>
      </c>
      <c r="S88" s="9">
        <f t="shared" ref="S88:S93" si="10">M88+O88+Q88</f>
        <v>0</v>
      </c>
    </row>
    <row r="89">
      <c r="A89" s="8" t="s">
        <v>111</v>
      </c>
      <c r="B89" s="8" t="s">
        <v>153</v>
      </c>
      <c r="C89" s="8">
        <v>0.0</v>
      </c>
      <c r="D89" s="8" t="s">
        <v>154</v>
      </c>
      <c r="E89" s="8">
        <v>0.0</v>
      </c>
      <c r="F89" s="8" t="s">
        <v>155</v>
      </c>
      <c r="G89" s="8">
        <v>0.0</v>
      </c>
      <c r="H89" s="8" t="s">
        <v>156</v>
      </c>
      <c r="I89" s="9">
        <f t="shared" si="8"/>
        <v>0</v>
      </c>
      <c r="K89" s="8" t="s">
        <v>111</v>
      </c>
      <c r="L89" s="8" t="s">
        <v>153</v>
      </c>
      <c r="M89" s="8">
        <f t="shared" si="9"/>
        <v>0</v>
      </c>
      <c r="N89" s="8" t="s">
        <v>154</v>
      </c>
      <c r="O89" s="8">
        <v>0.0</v>
      </c>
      <c r="P89" s="8" t="s">
        <v>155</v>
      </c>
      <c r="Q89" s="8">
        <v>0.0</v>
      </c>
      <c r="R89" s="8" t="s">
        <v>156</v>
      </c>
      <c r="S89" s="9">
        <f t="shared" si="10"/>
        <v>0</v>
      </c>
    </row>
    <row r="90">
      <c r="A90" s="8" t="s">
        <v>116</v>
      </c>
      <c r="B90" s="8" t="s">
        <v>157</v>
      </c>
      <c r="C90" s="8">
        <v>0.0</v>
      </c>
      <c r="D90" s="8" t="s">
        <v>158</v>
      </c>
      <c r="E90" s="9">
        <f>'Appartement 1'!E165+'Appartement 2'!E166</f>
        <v>3525</v>
      </c>
      <c r="F90" s="8" t="s">
        <v>159</v>
      </c>
      <c r="G90" s="8">
        <v>0.0</v>
      </c>
      <c r="H90" s="8" t="s">
        <v>160</v>
      </c>
      <c r="I90" s="9">
        <f t="shared" si="8"/>
        <v>3525</v>
      </c>
      <c r="K90" s="8" t="s">
        <v>116</v>
      </c>
      <c r="L90" s="8" t="s">
        <v>157</v>
      </c>
      <c r="M90" s="8">
        <f t="shared" si="9"/>
        <v>3525</v>
      </c>
      <c r="N90" s="8" t="s">
        <v>158</v>
      </c>
      <c r="O90" s="9">
        <f>'Appartement 1'!O165+'Appartement 2'!O166</f>
        <v>3525</v>
      </c>
      <c r="P90" s="8" t="s">
        <v>159</v>
      </c>
      <c r="Q90" s="8">
        <v>0.0</v>
      </c>
      <c r="R90" s="8" t="s">
        <v>160</v>
      </c>
      <c r="S90" s="9">
        <f t="shared" si="10"/>
        <v>7050</v>
      </c>
    </row>
    <row r="91">
      <c r="A91" s="8" t="s">
        <v>121</v>
      </c>
      <c r="B91" s="8" t="s">
        <v>161</v>
      </c>
      <c r="C91" s="8">
        <v>0.0</v>
      </c>
      <c r="D91" s="8" t="s">
        <v>162</v>
      </c>
      <c r="E91" s="9">
        <f>'Appartement 1'!E166+'Appartement 2'!E167</f>
        <v>1800</v>
      </c>
      <c r="F91" s="8" t="s">
        <v>163</v>
      </c>
      <c r="G91" s="8">
        <v>0.0</v>
      </c>
      <c r="H91" s="8" t="s">
        <v>164</v>
      </c>
      <c r="I91" s="9">
        <f t="shared" si="8"/>
        <v>1800</v>
      </c>
      <c r="K91" s="8" t="s">
        <v>121</v>
      </c>
      <c r="L91" s="8" t="s">
        <v>161</v>
      </c>
      <c r="M91" s="8">
        <f t="shared" si="9"/>
        <v>1800</v>
      </c>
      <c r="N91" s="8" t="s">
        <v>162</v>
      </c>
      <c r="O91" s="9">
        <f>'Appartement 1'!O166+'Appartement 2'!O167</f>
        <v>1800</v>
      </c>
      <c r="P91" s="8" t="s">
        <v>163</v>
      </c>
      <c r="Q91" s="8">
        <v>0.0</v>
      </c>
      <c r="R91" s="8" t="s">
        <v>164</v>
      </c>
      <c r="S91" s="9">
        <f t="shared" si="10"/>
        <v>3600</v>
      </c>
    </row>
    <row r="92">
      <c r="A92" s="8" t="s">
        <v>126</v>
      </c>
      <c r="B92" s="8" t="s">
        <v>165</v>
      </c>
      <c r="C92" s="8">
        <v>0.0</v>
      </c>
      <c r="D92" s="8" t="s">
        <v>166</v>
      </c>
      <c r="E92" s="9">
        <f>'Appartement 1'!E167+'Appartement 2'!E168</f>
        <v>3000</v>
      </c>
      <c r="F92" s="8" t="s">
        <v>167</v>
      </c>
      <c r="G92" s="8">
        <v>0.0</v>
      </c>
      <c r="H92" s="8" t="s">
        <v>168</v>
      </c>
      <c r="I92" s="9">
        <f t="shared" si="8"/>
        <v>3000</v>
      </c>
      <c r="K92" s="8" t="s">
        <v>126</v>
      </c>
      <c r="L92" s="8" t="s">
        <v>165</v>
      </c>
      <c r="M92" s="8">
        <f t="shared" si="9"/>
        <v>3000</v>
      </c>
      <c r="N92" s="8" t="s">
        <v>166</v>
      </c>
      <c r="O92" s="9">
        <f>'Appartement 1'!O167+'Appartement 2'!O168</f>
        <v>3000</v>
      </c>
      <c r="P92" s="8" t="s">
        <v>167</v>
      </c>
      <c r="Q92" s="8">
        <v>0.0</v>
      </c>
      <c r="R92" s="8" t="s">
        <v>168</v>
      </c>
      <c r="S92" s="9">
        <f t="shared" si="10"/>
        <v>6000</v>
      </c>
    </row>
    <row r="93">
      <c r="A93" s="8" t="s">
        <v>131</v>
      </c>
      <c r="B93" s="8" t="s">
        <v>169</v>
      </c>
      <c r="C93" s="8">
        <v>0.0</v>
      </c>
      <c r="D93" s="8" t="s">
        <v>170</v>
      </c>
      <c r="E93" s="9">
        <f>'Appartement 1'!E168+'Appartement 2'!E169</f>
        <v>0</v>
      </c>
      <c r="F93" s="8" t="s">
        <v>171</v>
      </c>
      <c r="G93" s="8">
        <v>0.0</v>
      </c>
      <c r="H93" s="8" t="s">
        <v>172</v>
      </c>
      <c r="I93" s="9">
        <f t="shared" si="8"/>
        <v>0</v>
      </c>
      <c r="K93" s="8" t="s">
        <v>131</v>
      </c>
      <c r="L93" s="8" t="s">
        <v>169</v>
      </c>
      <c r="M93" s="8">
        <f t="shared" si="9"/>
        <v>0</v>
      </c>
      <c r="N93" s="8" t="s">
        <v>170</v>
      </c>
      <c r="O93" s="9">
        <f>'Appartement 1'!O168+'Appartement 2'!O169</f>
        <v>0</v>
      </c>
      <c r="P93" s="8" t="s">
        <v>171</v>
      </c>
      <c r="Q93" s="8">
        <v>0.0</v>
      </c>
      <c r="R93" s="8" t="s">
        <v>172</v>
      </c>
      <c r="S93" s="9">
        <f t="shared" si="10"/>
        <v>0</v>
      </c>
    </row>
    <row r="94">
      <c r="A94" s="8" t="s">
        <v>48</v>
      </c>
      <c r="B94" s="8" t="s">
        <v>173</v>
      </c>
      <c r="C94" s="8">
        <v>0.0</v>
      </c>
      <c r="D94" s="8" t="s">
        <v>174</v>
      </c>
      <c r="E94" s="9">
        <f>'Appartement 1'!E169+'Appartement 2'!E170</f>
        <v>8325</v>
      </c>
      <c r="F94" s="8" t="s">
        <v>175</v>
      </c>
      <c r="G94" s="8">
        <v>0.0</v>
      </c>
      <c r="H94" s="8" t="s">
        <v>176</v>
      </c>
      <c r="I94" s="9">
        <f>SUM(I88:I93)</f>
        <v>8325</v>
      </c>
      <c r="K94" s="8" t="s">
        <v>48</v>
      </c>
      <c r="L94" s="8" t="s">
        <v>173</v>
      </c>
      <c r="M94" s="8">
        <f>SUM(M88:M93)</f>
        <v>8325</v>
      </c>
      <c r="N94" s="8" t="s">
        <v>174</v>
      </c>
      <c r="O94" s="9">
        <f>SUM(O88:O93)</f>
        <v>8325</v>
      </c>
      <c r="P94" s="8" t="s">
        <v>175</v>
      </c>
      <c r="Q94" s="8">
        <v>0.0</v>
      </c>
      <c r="R94" s="8" t="s">
        <v>176</v>
      </c>
      <c r="S94" s="9">
        <f>SUM(S88:S93)</f>
        <v>16650</v>
      </c>
    </row>
    <row r="97">
      <c r="A97" s="16" t="s">
        <v>177</v>
      </c>
    </row>
    <row r="99">
      <c r="A99" s="57" t="s">
        <v>178</v>
      </c>
    </row>
    <row r="101">
      <c r="A101" s="58" t="s">
        <v>106</v>
      </c>
      <c r="B101" s="59">
        <f>B4</f>
        <v>2025</v>
      </c>
      <c r="E101" s="58" t="s">
        <v>106</v>
      </c>
      <c r="F101" s="59">
        <f>B4+1</f>
        <v>2026</v>
      </c>
    </row>
    <row r="103">
      <c r="A103" s="8" t="s">
        <v>179</v>
      </c>
      <c r="B103" s="8" t="s">
        <v>180</v>
      </c>
      <c r="C103" s="9">
        <f t="shared" ref="C103:C104" si="11">B24</f>
        <v>0</v>
      </c>
      <c r="E103" s="8" t="s">
        <v>179</v>
      </c>
      <c r="F103" s="8" t="s">
        <v>180</v>
      </c>
      <c r="G103" s="9">
        <f t="shared" ref="G103:G104" si="12">E24</f>
        <v>10400</v>
      </c>
    </row>
    <row r="104">
      <c r="A104" s="8" t="s">
        <v>181</v>
      </c>
      <c r="B104" s="8" t="s">
        <v>182</v>
      </c>
      <c r="C104" s="9">
        <f t="shared" si="11"/>
        <v>0</v>
      </c>
      <c r="E104" s="8" t="s">
        <v>181</v>
      </c>
      <c r="F104" s="8" t="s">
        <v>182</v>
      </c>
      <c r="G104" s="9">
        <f t="shared" si="12"/>
        <v>0</v>
      </c>
    </row>
    <row r="105">
      <c r="A105" s="8" t="s">
        <v>183</v>
      </c>
      <c r="B105" s="8" t="s">
        <v>184</v>
      </c>
      <c r="C105" s="9">
        <f>C103-C104</f>
        <v>0</v>
      </c>
      <c r="E105" s="8" t="s">
        <v>183</v>
      </c>
      <c r="F105" s="8" t="s">
        <v>184</v>
      </c>
      <c r="G105" s="9">
        <f>G103-G104</f>
        <v>10400</v>
      </c>
    </row>
    <row r="106">
      <c r="A106" s="8" t="s">
        <v>185</v>
      </c>
      <c r="B106" s="8" t="s">
        <v>186</v>
      </c>
      <c r="C106" s="9">
        <f>B15</f>
        <v>10400</v>
      </c>
      <c r="E106" s="8" t="s">
        <v>185</v>
      </c>
      <c r="F106" s="8" t="s">
        <v>186</v>
      </c>
      <c r="G106" s="9">
        <f>E15</f>
        <v>0</v>
      </c>
    </row>
    <row r="107">
      <c r="A107" s="8" t="s">
        <v>187</v>
      </c>
      <c r="B107" s="8" t="s">
        <v>188</v>
      </c>
      <c r="C107" s="9">
        <f>C105+C106</f>
        <v>10400</v>
      </c>
      <c r="E107" s="8" t="s">
        <v>187</v>
      </c>
      <c r="F107" s="8" t="s">
        <v>188</v>
      </c>
      <c r="G107" s="9">
        <f>G105+G106</f>
        <v>10400</v>
      </c>
    </row>
  </sheetData>
  <mergeCells count="41">
    <mergeCell ref="A42:B42"/>
    <mergeCell ref="I42:J42"/>
    <mergeCell ref="C43:F43"/>
    <mergeCell ref="K43:N43"/>
    <mergeCell ref="B45:C45"/>
    <mergeCell ref="B47:C47"/>
    <mergeCell ref="A1:D1"/>
    <mergeCell ref="C35:D35"/>
    <mergeCell ref="E35:F35"/>
    <mergeCell ref="K35:L35"/>
    <mergeCell ref="M35:N35"/>
    <mergeCell ref="A36:A38"/>
    <mergeCell ref="A39:A41"/>
    <mergeCell ref="I36:I38"/>
    <mergeCell ref="I39:I41"/>
    <mergeCell ref="D44:F50"/>
    <mergeCell ref="L44:N50"/>
    <mergeCell ref="J45:K45"/>
    <mergeCell ref="J47:K47"/>
    <mergeCell ref="H54:K54"/>
    <mergeCell ref="F76:G76"/>
    <mergeCell ref="H76:I76"/>
    <mergeCell ref="L76:M76"/>
    <mergeCell ref="N76:O76"/>
    <mergeCell ref="P76:Q76"/>
    <mergeCell ref="R76:S76"/>
    <mergeCell ref="B87:C87"/>
    <mergeCell ref="D87:E87"/>
    <mergeCell ref="F87:G87"/>
    <mergeCell ref="H87:I87"/>
    <mergeCell ref="L87:M87"/>
    <mergeCell ref="N87:O87"/>
    <mergeCell ref="P87:Q87"/>
    <mergeCell ref="R87:S87"/>
    <mergeCell ref="B54:E54"/>
    <mergeCell ref="D55:E63"/>
    <mergeCell ref="J55:K63"/>
    <mergeCell ref="B64:E64"/>
    <mergeCell ref="H64:K64"/>
    <mergeCell ref="B76:C76"/>
    <mergeCell ref="D76:E7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21.75"/>
    <col customWidth="1" min="4" max="4" width="26.88"/>
    <col customWidth="1" min="5" max="5" width="19.25"/>
    <col customWidth="1" min="7" max="7" width="27.38"/>
    <col customWidth="1" min="10" max="10" width="20.38"/>
  </cols>
  <sheetData>
    <row r="1">
      <c r="A1" s="7" t="s">
        <v>189</v>
      </c>
      <c r="D1" s="4" t="s">
        <v>2</v>
      </c>
    </row>
    <row r="4">
      <c r="A4" s="60" t="s">
        <v>190</v>
      </c>
      <c r="B4" s="10">
        <v>150000.0</v>
      </c>
    </row>
    <row r="5">
      <c r="A5" s="60" t="s">
        <v>191</v>
      </c>
      <c r="B5" s="61">
        <f t="shared" ref="B5:B8" si="1">0</f>
        <v>0</v>
      </c>
    </row>
    <row r="6">
      <c r="A6" s="60" t="s">
        <v>192</v>
      </c>
      <c r="B6" s="61">
        <f t="shared" si="1"/>
        <v>0</v>
      </c>
    </row>
    <row r="7">
      <c r="A7" s="8" t="s">
        <v>193</v>
      </c>
      <c r="B7" s="61">
        <f t="shared" si="1"/>
        <v>0</v>
      </c>
    </row>
    <row r="8">
      <c r="A8" s="8" t="s">
        <v>194</v>
      </c>
      <c r="B8" s="11">
        <f t="shared" si="1"/>
        <v>0</v>
      </c>
    </row>
    <row r="9">
      <c r="A9" s="62" t="s">
        <v>195</v>
      </c>
      <c r="B9" s="63">
        <f>IF(B4&gt;0,SUM(B4:B6),IF(E4&gt;0,E4,0))</f>
        <v>150000</v>
      </c>
    </row>
    <row r="11">
      <c r="A11" s="7" t="s">
        <v>196</v>
      </c>
    </row>
    <row r="12">
      <c r="A12" s="64" t="s">
        <v>197</v>
      </c>
      <c r="B12" s="65">
        <v>45658.0</v>
      </c>
    </row>
    <row r="13">
      <c r="A13" s="64" t="s">
        <v>198</v>
      </c>
      <c r="B13" s="66">
        <f>YEAR(B12)</f>
        <v>2025</v>
      </c>
      <c r="E13" s="4" t="s">
        <v>199</v>
      </c>
      <c r="F13" s="13">
        <f>YEAR(TODAY())-1</f>
        <v>2025</v>
      </c>
      <c r="H13" s="4">
        <f>F13-B13+26</f>
        <v>26</v>
      </c>
    </row>
    <row r="14">
      <c r="A14" s="64" t="s">
        <v>200</v>
      </c>
      <c r="B14" s="66">
        <f>YEARFRAC(B12,DATE(YEAR(B12)+1,1,1),4)</f>
        <v>1</v>
      </c>
      <c r="AD14" s="55" t="s">
        <v>201</v>
      </c>
      <c r="AE14" s="4" t="s">
        <v>202</v>
      </c>
      <c r="AF14" s="4" t="s">
        <v>203</v>
      </c>
      <c r="AG14" s="4" t="s">
        <v>204</v>
      </c>
      <c r="AH14" s="4" t="s">
        <v>205</v>
      </c>
    </row>
    <row r="15">
      <c r="A15" s="4" t="s">
        <v>206</v>
      </c>
      <c r="B15" s="67">
        <f>15%</f>
        <v>0.15</v>
      </c>
      <c r="AD15" s="4" t="s">
        <v>207</v>
      </c>
      <c r="AE15" s="4">
        <v>0.0</v>
      </c>
      <c r="AF15" s="68">
        <v>45809.0</v>
      </c>
      <c r="AG15" s="4">
        <v>10.0</v>
      </c>
      <c r="AH15" s="13">
        <f t="shared" ref="AH15:AH24" si="2">YEARFRAC(AF15,DATE(YEAR(AF15)+1,1,1),4)</f>
        <v>0.5833333333</v>
      </c>
    </row>
    <row r="16">
      <c r="A16" s="4" t="s">
        <v>208</v>
      </c>
      <c r="B16" s="67">
        <f>40%</f>
        <v>0.4</v>
      </c>
      <c r="C16" s="4" t="s">
        <v>209</v>
      </c>
      <c r="D16" s="4">
        <v>50.0</v>
      </c>
      <c r="E16" s="4" t="s">
        <v>210</v>
      </c>
      <c r="AD16" s="4" t="s">
        <v>211</v>
      </c>
      <c r="AE16" s="4">
        <v>0.0</v>
      </c>
      <c r="AF16" s="68">
        <v>46174.0</v>
      </c>
      <c r="AG16" s="4">
        <v>10.0</v>
      </c>
      <c r="AH16" s="13">
        <f t="shared" si="2"/>
        <v>0.5833333333</v>
      </c>
    </row>
    <row r="17">
      <c r="A17" s="4" t="s">
        <v>212</v>
      </c>
      <c r="B17" s="67">
        <f t="shared" ref="B17:B19" si="3">15%</f>
        <v>0.15</v>
      </c>
      <c r="C17" s="4" t="s">
        <v>209</v>
      </c>
      <c r="D17" s="4">
        <v>40.0</v>
      </c>
      <c r="E17" s="4" t="s">
        <v>210</v>
      </c>
      <c r="AD17" s="4" t="s">
        <v>213</v>
      </c>
      <c r="AE17" s="4">
        <v>0.0</v>
      </c>
      <c r="AF17" s="68">
        <v>46539.0</v>
      </c>
      <c r="AG17" s="4">
        <v>10.0</v>
      </c>
      <c r="AH17" s="13">
        <f t="shared" si="2"/>
        <v>0.5833333333</v>
      </c>
    </row>
    <row r="18">
      <c r="A18" s="4" t="s">
        <v>214</v>
      </c>
      <c r="B18" s="67">
        <f t="shared" si="3"/>
        <v>0.15</v>
      </c>
      <c r="C18" s="4" t="s">
        <v>209</v>
      </c>
      <c r="D18" s="4">
        <v>25.0</v>
      </c>
      <c r="E18" s="4" t="s">
        <v>210</v>
      </c>
      <c r="AD18" s="4" t="s">
        <v>215</v>
      </c>
      <c r="AE18" s="4">
        <v>0.0</v>
      </c>
      <c r="AF18" s="68">
        <v>46905.0</v>
      </c>
      <c r="AG18" s="4">
        <v>10.0</v>
      </c>
      <c r="AH18" s="13">
        <f t="shared" si="2"/>
        <v>0.5833333333</v>
      </c>
    </row>
    <row r="19">
      <c r="A19" s="69" t="s">
        <v>216</v>
      </c>
      <c r="B19" s="67">
        <f t="shared" si="3"/>
        <v>0.15</v>
      </c>
      <c r="C19" s="4" t="s">
        <v>209</v>
      </c>
      <c r="D19" s="4">
        <v>15.0</v>
      </c>
      <c r="E19" s="4" t="s">
        <v>210</v>
      </c>
      <c r="AD19" s="4" t="s">
        <v>217</v>
      </c>
      <c r="AE19" s="4">
        <v>0.0</v>
      </c>
      <c r="AF19" s="68">
        <v>47270.0</v>
      </c>
      <c r="AG19" s="4">
        <v>10.0</v>
      </c>
      <c r="AH19" s="13">
        <f t="shared" si="2"/>
        <v>0.5833333333</v>
      </c>
    </row>
    <row r="20">
      <c r="A20" s="4" t="s">
        <v>218</v>
      </c>
      <c r="B20" s="13">
        <f>B7+B8</f>
        <v>0</v>
      </c>
      <c r="D20" s="4">
        <v>10.0</v>
      </c>
      <c r="E20" s="4" t="s">
        <v>210</v>
      </c>
      <c r="AD20" s="4" t="s">
        <v>219</v>
      </c>
      <c r="AE20" s="4">
        <v>0.0</v>
      </c>
      <c r="AF20" s="68">
        <v>47635.0</v>
      </c>
      <c r="AG20" s="4">
        <v>10.0</v>
      </c>
      <c r="AH20" s="13">
        <f t="shared" si="2"/>
        <v>0.5833333333</v>
      </c>
    </row>
    <row r="21">
      <c r="A21" s="70" t="s">
        <v>191</v>
      </c>
      <c r="B21" s="71">
        <f t="shared" ref="B21:B22" si="4">B5</f>
        <v>0</v>
      </c>
      <c r="C21" s="71"/>
      <c r="D21" s="70">
        <v>0.0</v>
      </c>
      <c r="E21" s="71"/>
      <c r="AD21" s="4" t="s">
        <v>220</v>
      </c>
      <c r="AE21" s="4">
        <v>0.0</v>
      </c>
      <c r="AF21" s="68">
        <v>48000.0</v>
      </c>
      <c r="AG21" s="4">
        <v>10.0</v>
      </c>
      <c r="AH21" s="13">
        <f t="shared" si="2"/>
        <v>0.5833333333</v>
      </c>
    </row>
    <row r="22">
      <c r="A22" s="4" t="s">
        <v>221</v>
      </c>
      <c r="B22" s="13">
        <f t="shared" si="4"/>
        <v>0</v>
      </c>
      <c r="D22" s="4">
        <v>0.0</v>
      </c>
      <c r="AD22" s="4" t="s">
        <v>222</v>
      </c>
      <c r="AE22" s="4">
        <v>0.0</v>
      </c>
      <c r="AF22" s="68">
        <v>48000.0</v>
      </c>
      <c r="AG22" s="4">
        <v>10.0</v>
      </c>
      <c r="AH22" s="13">
        <f t="shared" si="2"/>
        <v>0.5833333333</v>
      </c>
    </row>
    <row r="23">
      <c r="AD23" s="4" t="s">
        <v>223</v>
      </c>
      <c r="AE23" s="4">
        <v>0.0</v>
      </c>
      <c r="AF23" s="68">
        <v>48000.0</v>
      </c>
      <c r="AG23" s="4">
        <v>10.0</v>
      </c>
      <c r="AH23" s="13">
        <f t="shared" si="2"/>
        <v>0.5833333333</v>
      </c>
    </row>
    <row r="24">
      <c r="A24" s="72"/>
      <c r="B24" s="72"/>
      <c r="C24" s="73" t="s">
        <v>224</v>
      </c>
      <c r="D24" s="72"/>
      <c r="E24" s="72"/>
      <c r="F24" s="72"/>
      <c r="G24" s="72"/>
      <c r="H24" s="72"/>
      <c r="I24" s="74"/>
      <c r="J24" s="74"/>
      <c r="K24" s="75" t="s">
        <v>225</v>
      </c>
      <c r="L24" s="74"/>
      <c r="M24" s="74"/>
      <c r="N24" s="74"/>
      <c r="O24" s="74"/>
      <c r="P24" s="76"/>
      <c r="Q24" s="77" t="s">
        <v>226</v>
      </c>
      <c r="R24" s="76"/>
      <c r="S24" s="76"/>
      <c r="T24" s="76"/>
      <c r="U24" s="76"/>
      <c r="V24" s="78"/>
      <c r="W24" s="79" t="s">
        <v>227</v>
      </c>
      <c r="X24" s="78"/>
      <c r="Y24" s="78"/>
      <c r="Z24" s="78"/>
      <c r="AA24" s="78"/>
      <c r="AB24" s="78"/>
      <c r="AD24" s="4" t="s">
        <v>228</v>
      </c>
      <c r="AE24" s="4">
        <v>0.0</v>
      </c>
      <c r="AF24" s="68">
        <v>48000.0</v>
      </c>
      <c r="AG24" s="4">
        <v>10.0</v>
      </c>
      <c r="AH24" s="13">
        <f t="shared" si="2"/>
        <v>0.5833333333</v>
      </c>
    </row>
    <row r="25">
      <c r="A25" s="4" t="s">
        <v>106</v>
      </c>
      <c r="B25" s="4" t="s">
        <v>229</v>
      </c>
      <c r="C25" s="4" t="s">
        <v>230</v>
      </c>
      <c r="D25" s="4" t="s">
        <v>231</v>
      </c>
      <c r="E25" s="4" t="s">
        <v>232</v>
      </c>
      <c r="F25" s="69" t="s">
        <v>131</v>
      </c>
      <c r="G25" s="69" t="s">
        <v>233</v>
      </c>
      <c r="H25" s="4" t="s">
        <v>234</v>
      </c>
      <c r="I25" s="4" t="s">
        <v>234</v>
      </c>
      <c r="J25" s="69" t="s">
        <v>235</v>
      </c>
      <c r="K25" s="69" t="s">
        <v>236</v>
      </c>
      <c r="L25" s="69" t="s">
        <v>131</v>
      </c>
      <c r="N25" s="4" t="s">
        <v>206</v>
      </c>
      <c r="O25" s="4" t="s">
        <v>48</v>
      </c>
      <c r="P25" s="4" t="s">
        <v>234</v>
      </c>
      <c r="Q25" s="4" t="s">
        <v>206</v>
      </c>
      <c r="R25" s="4" t="s">
        <v>231</v>
      </c>
      <c r="S25" s="4" t="s">
        <v>232</v>
      </c>
      <c r="T25" s="4" t="s">
        <v>131</v>
      </c>
      <c r="U25" s="4" t="s">
        <v>48</v>
      </c>
      <c r="V25" s="4" t="s">
        <v>234</v>
      </c>
      <c r="W25" s="4" t="s">
        <v>206</v>
      </c>
      <c r="X25" s="4" t="s">
        <v>231</v>
      </c>
      <c r="Y25" s="4" t="s">
        <v>232</v>
      </c>
      <c r="Z25" s="4" t="s">
        <v>131</v>
      </c>
      <c r="AB25" s="4" t="s">
        <v>48</v>
      </c>
      <c r="AC25" s="4"/>
      <c r="AD25" s="4"/>
      <c r="AE25" s="4"/>
      <c r="AF25" s="4"/>
      <c r="AG25" s="4"/>
      <c r="AH25" s="4"/>
    </row>
    <row r="26">
      <c r="A26" s="4">
        <v>2025.0</v>
      </c>
      <c r="B26" s="13">
        <f>IF(A26&lt;$B$13+$D$16,$B$16*$B$9/$D$16,0)*B14</f>
        <v>1200</v>
      </c>
      <c r="C26" s="13">
        <f>IF(A26&lt;$B$13+$D17,$B$17*$B$9/$D$17,0)*B14</f>
        <v>562.5</v>
      </c>
      <c r="D26" s="13">
        <f>IF(A26&lt;$B$13+$D18,$B$18*$B$9/$D$18,0)*B14</f>
        <v>900</v>
      </c>
      <c r="E26" s="13">
        <f>IF(A26&lt;$B$13+$D$19,$B$19*$B$9/$D$19,0)*B14</f>
        <v>1500</v>
      </c>
      <c r="F26" s="13">
        <f>(IF(A26&lt;$B$13+$D$20,$B$20/$D$20,0)*B14)</f>
        <v>0</v>
      </c>
      <c r="G26" s="13">
        <f t="shared" ref="G26:G76" si="6">SUM(B26:F26)</f>
        <v>4162.5</v>
      </c>
      <c r="H26" s="13">
        <f t="shared" ref="H26:H76" si="7">B26+C26</f>
        <v>1762.5</v>
      </c>
      <c r="I26" s="13">
        <f t="shared" ref="I26:I76" si="8">$B$9*($B$16+$B$17)-V26</f>
        <v>80737.5</v>
      </c>
      <c r="J26" s="80">
        <f t="shared" ref="J26:J76" si="9">$B$9*($B$18)-X26</f>
        <v>21600</v>
      </c>
      <c r="K26" s="13">
        <f t="shared" ref="K26:K76" si="10">$B$9*($B$19)-Y26</f>
        <v>21000</v>
      </c>
      <c r="L26" s="13">
        <f t="shared" ref="L26:L76" si="11">$B$20-Z26+AJ26</f>
        <v>0</v>
      </c>
      <c r="N26" s="13">
        <f t="shared" ref="N26:N76" si="12">$B$9*$B$15</f>
        <v>22500</v>
      </c>
      <c r="O26" s="13">
        <f t="shared" ref="O26:O76" si="13">SUM(I26:N26)</f>
        <v>145837.5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13">
        <f t="shared" ref="V26:V76" si="15">P26+H26</f>
        <v>1762.5</v>
      </c>
      <c r="W26" s="4">
        <v>0.0</v>
      </c>
      <c r="X26" s="13">
        <f t="shared" ref="X26:Z26" si="5">R26+D26</f>
        <v>900</v>
      </c>
      <c r="Y26" s="13">
        <f t="shared" si="5"/>
        <v>1500</v>
      </c>
      <c r="Z26" s="13">
        <f t="shared" si="5"/>
        <v>0</v>
      </c>
      <c r="AB26" s="13">
        <f t="shared" ref="AB26:AB76" si="17">SUM(V26:AA26)</f>
        <v>4162.5</v>
      </c>
    </row>
    <row r="27">
      <c r="A27" s="4">
        <v>2026.0</v>
      </c>
      <c r="B27" s="13">
        <f t="shared" ref="B27:B76" si="18">IF(A27=$B$13+$D$16,($B$16*$B$9/$D$16)*(1-$B$14),IF(A27&lt;$B$13+$D$16,$B$16*$B$9/$D$16,0))</f>
        <v>1200</v>
      </c>
      <c r="C27" s="13">
        <f t="shared" ref="C27:C76" si="19">IF(A27=$B$13+$D$17,($B$17*$B$9/$D$17)*(1-$B$14),IF(A27&lt;$B$13+$D$17,$B$17*$B$9/$D$17,0))</f>
        <v>562.5</v>
      </c>
      <c r="D27" s="13">
        <f t="shared" ref="D27:D76" si="20">IF(A27=$B$13+$D$18,($B$18*$B$9/$D$18)*(1-$B$14),IF(A27&lt;$B$13+$D$18,$B$18*$B$9/$D$18,0))</f>
        <v>900</v>
      </c>
      <c r="E27" s="13">
        <f t="shared" ref="E27:E76" si="21">IF(A27=$B$13+$D$19,($B$19*$B$9/$D$19)*(1-$B$14),IF(A27&lt;$B$13+$D$19,$B$19*$B$9/$D$19,0))</f>
        <v>1500</v>
      </c>
      <c r="F27" s="13">
        <f t="shared" ref="F27:F76" si="22">IF(A27=$B$13+$D$20,($B$20/$D$20)*(1-$B$14),IF(A27&lt;$B$13+$D$20,$B$20/$D$20,0))</f>
        <v>0</v>
      </c>
      <c r="G27" s="13">
        <f t="shared" si="6"/>
        <v>4162.5</v>
      </c>
      <c r="H27" s="13">
        <f t="shared" si="7"/>
        <v>1762.5</v>
      </c>
      <c r="I27" s="13">
        <f t="shared" si="8"/>
        <v>78975</v>
      </c>
      <c r="J27" s="80">
        <f t="shared" si="9"/>
        <v>20700</v>
      </c>
      <c r="K27" s="13">
        <f t="shared" si="10"/>
        <v>19500</v>
      </c>
      <c r="L27" s="13">
        <f t="shared" si="11"/>
        <v>0</v>
      </c>
      <c r="N27" s="13">
        <f t="shared" si="12"/>
        <v>22500</v>
      </c>
      <c r="O27" s="13">
        <f t="shared" si="13"/>
        <v>141675</v>
      </c>
      <c r="P27" s="13">
        <f t="shared" ref="P27:P76" si="23">V26</f>
        <v>1762.5</v>
      </c>
      <c r="Q27" s="4">
        <v>0.0</v>
      </c>
      <c r="R27" s="13">
        <f t="shared" ref="R27:T27" si="14">X26</f>
        <v>900</v>
      </c>
      <c r="S27" s="13">
        <f t="shared" si="14"/>
        <v>1500</v>
      </c>
      <c r="T27" s="13">
        <f t="shared" si="14"/>
        <v>0</v>
      </c>
      <c r="U27" s="13">
        <f t="shared" ref="U27:U76" si="25">AB26</f>
        <v>4162.5</v>
      </c>
      <c r="V27" s="13">
        <f t="shared" si="15"/>
        <v>3525</v>
      </c>
      <c r="W27" s="4">
        <v>0.0</v>
      </c>
      <c r="X27" s="13">
        <f t="shared" ref="X27:Z27" si="16">R27+D27</f>
        <v>1800</v>
      </c>
      <c r="Y27" s="13">
        <f t="shared" si="16"/>
        <v>3000</v>
      </c>
      <c r="Z27" s="13">
        <f t="shared" si="16"/>
        <v>0</v>
      </c>
      <c r="AB27" s="13">
        <f t="shared" si="17"/>
        <v>8325</v>
      </c>
    </row>
    <row r="28">
      <c r="A28" s="13">
        <f t="shared" ref="A28:A76" si="27">A27+1</f>
        <v>2027</v>
      </c>
      <c r="B28" s="13">
        <f t="shared" si="18"/>
        <v>1200</v>
      </c>
      <c r="C28" s="13">
        <f t="shared" si="19"/>
        <v>562.5</v>
      </c>
      <c r="D28" s="13">
        <f t="shared" si="20"/>
        <v>900</v>
      </c>
      <c r="E28" s="13">
        <f t="shared" si="21"/>
        <v>1500</v>
      </c>
      <c r="F28" s="13">
        <f t="shared" si="22"/>
        <v>0</v>
      </c>
      <c r="G28" s="13">
        <f t="shared" si="6"/>
        <v>4162.5</v>
      </c>
      <c r="H28" s="13">
        <f t="shared" si="7"/>
        <v>1762.5</v>
      </c>
      <c r="I28" s="13">
        <f t="shared" si="8"/>
        <v>77212.5</v>
      </c>
      <c r="J28" s="80">
        <f t="shared" si="9"/>
        <v>19800</v>
      </c>
      <c r="K28" s="13">
        <f t="shared" si="10"/>
        <v>18000</v>
      </c>
      <c r="L28" s="13">
        <f t="shared" si="11"/>
        <v>0</v>
      </c>
      <c r="N28" s="13">
        <f t="shared" si="12"/>
        <v>22500</v>
      </c>
      <c r="O28" s="13">
        <f t="shared" si="13"/>
        <v>137512.5</v>
      </c>
      <c r="P28" s="13">
        <f t="shared" si="23"/>
        <v>3525</v>
      </c>
      <c r="Q28" s="4">
        <v>0.0</v>
      </c>
      <c r="R28" s="13">
        <f t="shared" ref="R28:T28" si="24">X27</f>
        <v>1800</v>
      </c>
      <c r="S28" s="13">
        <f t="shared" si="24"/>
        <v>3000</v>
      </c>
      <c r="T28" s="13">
        <f t="shared" si="24"/>
        <v>0</v>
      </c>
      <c r="U28" s="13">
        <f t="shared" si="25"/>
        <v>8325</v>
      </c>
      <c r="V28" s="13">
        <f t="shared" si="15"/>
        <v>5287.5</v>
      </c>
      <c r="W28" s="4">
        <v>0.0</v>
      </c>
      <c r="X28" s="13">
        <f t="shared" ref="X28:Z28" si="26">R28+D28</f>
        <v>2700</v>
      </c>
      <c r="Y28" s="13">
        <f t="shared" si="26"/>
        <v>4500</v>
      </c>
      <c r="Z28" s="13">
        <f t="shared" si="26"/>
        <v>0</v>
      </c>
      <c r="AB28" s="13">
        <f t="shared" si="17"/>
        <v>12487.5</v>
      </c>
    </row>
    <row r="29">
      <c r="A29" s="13">
        <f t="shared" si="27"/>
        <v>2028</v>
      </c>
      <c r="B29" s="13">
        <f t="shared" si="18"/>
        <v>1200</v>
      </c>
      <c r="C29" s="13">
        <f t="shared" si="19"/>
        <v>562.5</v>
      </c>
      <c r="D29" s="13">
        <f t="shared" si="20"/>
        <v>900</v>
      </c>
      <c r="E29" s="13">
        <f t="shared" si="21"/>
        <v>1500</v>
      </c>
      <c r="F29" s="13">
        <f t="shared" si="22"/>
        <v>0</v>
      </c>
      <c r="G29" s="13">
        <f t="shared" si="6"/>
        <v>4162.5</v>
      </c>
      <c r="H29" s="13">
        <f t="shared" si="7"/>
        <v>1762.5</v>
      </c>
      <c r="I29" s="13">
        <f t="shared" si="8"/>
        <v>75450</v>
      </c>
      <c r="J29" s="80">
        <f t="shared" si="9"/>
        <v>18900</v>
      </c>
      <c r="K29" s="13">
        <f t="shared" si="10"/>
        <v>16500</v>
      </c>
      <c r="L29" s="13">
        <f t="shared" si="11"/>
        <v>0</v>
      </c>
      <c r="N29" s="13">
        <f t="shared" si="12"/>
        <v>22500</v>
      </c>
      <c r="O29" s="13">
        <f t="shared" si="13"/>
        <v>133350</v>
      </c>
      <c r="P29" s="13">
        <f t="shared" si="23"/>
        <v>5287.5</v>
      </c>
      <c r="Q29" s="4">
        <v>0.0</v>
      </c>
      <c r="R29" s="13">
        <f t="shared" ref="R29:T29" si="28">X28</f>
        <v>2700</v>
      </c>
      <c r="S29" s="13">
        <f t="shared" si="28"/>
        <v>4500</v>
      </c>
      <c r="T29" s="13">
        <f t="shared" si="28"/>
        <v>0</v>
      </c>
      <c r="U29" s="13">
        <f t="shared" si="25"/>
        <v>12487.5</v>
      </c>
      <c r="V29" s="13">
        <f t="shared" si="15"/>
        <v>7050</v>
      </c>
      <c r="W29" s="4">
        <v>0.0</v>
      </c>
      <c r="X29" s="13">
        <f t="shared" ref="X29:Z29" si="29">R29+D29</f>
        <v>3600</v>
      </c>
      <c r="Y29" s="13">
        <f t="shared" si="29"/>
        <v>6000</v>
      </c>
      <c r="Z29" s="13">
        <f t="shared" si="29"/>
        <v>0</v>
      </c>
      <c r="AB29" s="13">
        <f t="shared" si="17"/>
        <v>16650</v>
      </c>
    </row>
    <row r="30">
      <c r="A30" s="13">
        <f t="shared" si="27"/>
        <v>2029</v>
      </c>
      <c r="B30" s="13">
        <f t="shared" si="18"/>
        <v>1200</v>
      </c>
      <c r="C30" s="13">
        <f t="shared" si="19"/>
        <v>562.5</v>
      </c>
      <c r="D30" s="13">
        <f t="shared" si="20"/>
        <v>900</v>
      </c>
      <c r="E30" s="13">
        <f t="shared" si="21"/>
        <v>1500</v>
      </c>
      <c r="F30" s="13">
        <f t="shared" si="22"/>
        <v>0</v>
      </c>
      <c r="G30" s="13">
        <f t="shared" si="6"/>
        <v>4162.5</v>
      </c>
      <c r="H30" s="13">
        <f t="shared" si="7"/>
        <v>1762.5</v>
      </c>
      <c r="I30" s="13">
        <f t="shared" si="8"/>
        <v>73687.5</v>
      </c>
      <c r="J30" s="80">
        <f t="shared" si="9"/>
        <v>18000</v>
      </c>
      <c r="K30" s="13">
        <f t="shared" si="10"/>
        <v>15000</v>
      </c>
      <c r="L30" s="13">
        <f t="shared" si="11"/>
        <v>0</v>
      </c>
      <c r="N30" s="13">
        <f t="shared" si="12"/>
        <v>22500</v>
      </c>
      <c r="O30" s="13">
        <f t="shared" si="13"/>
        <v>129187.5</v>
      </c>
      <c r="P30" s="13">
        <f t="shared" si="23"/>
        <v>7050</v>
      </c>
      <c r="Q30" s="4">
        <v>0.0</v>
      </c>
      <c r="R30" s="13">
        <f t="shared" ref="R30:T30" si="30">X29</f>
        <v>3600</v>
      </c>
      <c r="S30" s="13">
        <f t="shared" si="30"/>
        <v>6000</v>
      </c>
      <c r="T30" s="13">
        <f t="shared" si="30"/>
        <v>0</v>
      </c>
      <c r="U30" s="13">
        <f t="shared" si="25"/>
        <v>16650</v>
      </c>
      <c r="V30" s="13">
        <f t="shared" si="15"/>
        <v>8812.5</v>
      </c>
      <c r="W30" s="4">
        <v>0.0</v>
      </c>
      <c r="X30" s="13">
        <f t="shared" ref="X30:Z30" si="31">R30+D30</f>
        <v>4500</v>
      </c>
      <c r="Y30" s="13">
        <f t="shared" si="31"/>
        <v>7500</v>
      </c>
      <c r="Z30" s="13">
        <f t="shared" si="31"/>
        <v>0</v>
      </c>
      <c r="AB30" s="13">
        <f t="shared" si="17"/>
        <v>20812.5</v>
      </c>
    </row>
    <row r="31">
      <c r="A31" s="13">
        <f t="shared" si="27"/>
        <v>2030</v>
      </c>
      <c r="B31" s="13">
        <f t="shared" si="18"/>
        <v>1200</v>
      </c>
      <c r="C31" s="13">
        <f t="shared" si="19"/>
        <v>562.5</v>
      </c>
      <c r="D31" s="13">
        <f t="shared" si="20"/>
        <v>900</v>
      </c>
      <c r="E31" s="13">
        <f t="shared" si="21"/>
        <v>1500</v>
      </c>
      <c r="F31" s="13">
        <f t="shared" si="22"/>
        <v>0</v>
      </c>
      <c r="G31" s="13">
        <f t="shared" si="6"/>
        <v>4162.5</v>
      </c>
      <c r="H31" s="13">
        <f t="shared" si="7"/>
        <v>1762.5</v>
      </c>
      <c r="I31" s="13">
        <f t="shared" si="8"/>
        <v>71925</v>
      </c>
      <c r="J31" s="80">
        <f t="shared" si="9"/>
        <v>17100</v>
      </c>
      <c r="K31" s="13">
        <f t="shared" si="10"/>
        <v>13500</v>
      </c>
      <c r="L31" s="13">
        <f t="shared" si="11"/>
        <v>0</v>
      </c>
      <c r="N31" s="13">
        <f t="shared" si="12"/>
        <v>22500</v>
      </c>
      <c r="O31" s="13">
        <f t="shared" si="13"/>
        <v>125025</v>
      </c>
      <c r="P31" s="13">
        <f t="shared" si="23"/>
        <v>8812.5</v>
      </c>
      <c r="Q31" s="4">
        <v>0.0</v>
      </c>
      <c r="R31" s="13">
        <f t="shared" ref="R31:T31" si="32">X30</f>
        <v>4500</v>
      </c>
      <c r="S31" s="13">
        <f t="shared" si="32"/>
        <v>7500</v>
      </c>
      <c r="T31" s="13">
        <f t="shared" si="32"/>
        <v>0</v>
      </c>
      <c r="U31" s="13">
        <f t="shared" si="25"/>
        <v>20812.5</v>
      </c>
      <c r="V31" s="13">
        <f t="shared" si="15"/>
        <v>10575</v>
      </c>
      <c r="W31" s="4">
        <v>0.0</v>
      </c>
      <c r="X31" s="13">
        <f t="shared" ref="X31:Z31" si="33">R31+D31</f>
        <v>5400</v>
      </c>
      <c r="Y31" s="13">
        <f t="shared" si="33"/>
        <v>9000</v>
      </c>
      <c r="Z31" s="13">
        <f t="shared" si="33"/>
        <v>0</v>
      </c>
      <c r="AB31" s="13">
        <f t="shared" si="17"/>
        <v>24975</v>
      </c>
    </row>
    <row r="32">
      <c r="A32" s="13">
        <f t="shared" si="27"/>
        <v>2031</v>
      </c>
      <c r="B32" s="13">
        <f t="shared" si="18"/>
        <v>1200</v>
      </c>
      <c r="C32" s="13">
        <f t="shared" si="19"/>
        <v>562.5</v>
      </c>
      <c r="D32" s="13">
        <f t="shared" si="20"/>
        <v>900</v>
      </c>
      <c r="E32" s="13">
        <f t="shared" si="21"/>
        <v>1500</v>
      </c>
      <c r="F32" s="13">
        <f t="shared" si="22"/>
        <v>0</v>
      </c>
      <c r="G32" s="13">
        <f t="shared" si="6"/>
        <v>4162.5</v>
      </c>
      <c r="H32" s="13">
        <f t="shared" si="7"/>
        <v>1762.5</v>
      </c>
      <c r="I32" s="13">
        <f t="shared" si="8"/>
        <v>70162.5</v>
      </c>
      <c r="J32" s="80">
        <f t="shared" si="9"/>
        <v>16200</v>
      </c>
      <c r="K32" s="13">
        <f t="shared" si="10"/>
        <v>12000</v>
      </c>
      <c r="L32" s="13">
        <f t="shared" si="11"/>
        <v>0</v>
      </c>
      <c r="N32" s="13">
        <f t="shared" si="12"/>
        <v>22500</v>
      </c>
      <c r="O32" s="13">
        <f t="shared" si="13"/>
        <v>120862.5</v>
      </c>
      <c r="P32" s="13">
        <f t="shared" si="23"/>
        <v>10575</v>
      </c>
      <c r="Q32" s="4">
        <v>0.0</v>
      </c>
      <c r="R32" s="13">
        <f t="shared" ref="R32:T32" si="34">X31</f>
        <v>5400</v>
      </c>
      <c r="S32" s="13">
        <f t="shared" si="34"/>
        <v>9000</v>
      </c>
      <c r="T32" s="13">
        <f t="shared" si="34"/>
        <v>0</v>
      </c>
      <c r="U32" s="13">
        <f t="shared" si="25"/>
        <v>24975</v>
      </c>
      <c r="V32" s="13">
        <f t="shared" si="15"/>
        <v>12337.5</v>
      </c>
      <c r="W32" s="4">
        <v>0.0</v>
      </c>
      <c r="X32" s="13">
        <f t="shared" ref="X32:Z32" si="35">R32+D32</f>
        <v>6300</v>
      </c>
      <c r="Y32" s="13">
        <f t="shared" si="35"/>
        <v>10500</v>
      </c>
      <c r="Z32" s="13">
        <f t="shared" si="35"/>
        <v>0</v>
      </c>
      <c r="AB32" s="13">
        <f t="shared" si="17"/>
        <v>29137.5</v>
      </c>
    </row>
    <row r="33">
      <c r="A33" s="13">
        <f t="shared" si="27"/>
        <v>2032</v>
      </c>
      <c r="B33" s="13">
        <f t="shared" si="18"/>
        <v>1200</v>
      </c>
      <c r="C33" s="13">
        <f t="shared" si="19"/>
        <v>562.5</v>
      </c>
      <c r="D33" s="13">
        <f t="shared" si="20"/>
        <v>900</v>
      </c>
      <c r="E33" s="13">
        <f t="shared" si="21"/>
        <v>1500</v>
      </c>
      <c r="F33" s="13">
        <f t="shared" si="22"/>
        <v>0</v>
      </c>
      <c r="G33" s="13">
        <f t="shared" si="6"/>
        <v>4162.5</v>
      </c>
      <c r="H33" s="13">
        <f t="shared" si="7"/>
        <v>1762.5</v>
      </c>
      <c r="I33" s="13">
        <f t="shared" si="8"/>
        <v>68400</v>
      </c>
      <c r="J33" s="80">
        <f t="shared" si="9"/>
        <v>15300</v>
      </c>
      <c r="K33" s="13">
        <f t="shared" si="10"/>
        <v>10500</v>
      </c>
      <c r="L33" s="13">
        <f t="shared" si="11"/>
        <v>0</v>
      </c>
      <c r="N33" s="13">
        <f t="shared" si="12"/>
        <v>22500</v>
      </c>
      <c r="O33" s="13">
        <f t="shared" si="13"/>
        <v>116700</v>
      </c>
      <c r="P33" s="13">
        <f t="shared" si="23"/>
        <v>12337.5</v>
      </c>
      <c r="Q33" s="4">
        <v>0.0</v>
      </c>
      <c r="R33" s="13">
        <f t="shared" ref="R33:T33" si="36">X32</f>
        <v>6300</v>
      </c>
      <c r="S33" s="13">
        <f t="shared" si="36"/>
        <v>10500</v>
      </c>
      <c r="T33" s="13">
        <f t="shared" si="36"/>
        <v>0</v>
      </c>
      <c r="U33" s="13">
        <f t="shared" si="25"/>
        <v>29137.5</v>
      </c>
      <c r="V33" s="13">
        <f t="shared" si="15"/>
        <v>14100</v>
      </c>
      <c r="W33" s="4">
        <v>0.0</v>
      </c>
      <c r="X33" s="13">
        <f t="shared" ref="X33:Z33" si="37">R33+D33</f>
        <v>7200</v>
      </c>
      <c r="Y33" s="13">
        <f t="shared" si="37"/>
        <v>12000</v>
      </c>
      <c r="Z33" s="13">
        <f t="shared" si="37"/>
        <v>0</v>
      </c>
      <c r="AB33" s="13">
        <f t="shared" si="17"/>
        <v>33300</v>
      </c>
    </row>
    <row r="34">
      <c r="A34" s="13">
        <f t="shared" si="27"/>
        <v>2033</v>
      </c>
      <c r="B34" s="13">
        <f t="shared" si="18"/>
        <v>1200</v>
      </c>
      <c r="C34" s="13">
        <f t="shared" si="19"/>
        <v>562.5</v>
      </c>
      <c r="D34" s="13">
        <f t="shared" si="20"/>
        <v>900</v>
      </c>
      <c r="E34" s="13">
        <f t="shared" si="21"/>
        <v>1500</v>
      </c>
      <c r="F34" s="13">
        <f t="shared" si="22"/>
        <v>0</v>
      </c>
      <c r="G34" s="13">
        <f t="shared" si="6"/>
        <v>4162.5</v>
      </c>
      <c r="H34" s="13">
        <f t="shared" si="7"/>
        <v>1762.5</v>
      </c>
      <c r="I34" s="13">
        <f t="shared" si="8"/>
        <v>66637.5</v>
      </c>
      <c r="J34" s="80">
        <f t="shared" si="9"/>
        <v>14400</v>
      </c>
      <c r="K34" s="13">
        <f t="shared" si="10"/>
        <v>9000</v>
      </c>
      <c r="L34" s="13">
        <f t="shared" si="11"/>
        <v>0</v>
      </c>
      <c r="N34" s="13">
        <f t="shared" si="12"/>
        <v>22500</v>
      </c>
      <c r="O34" s="13">
        <f t="shared" si="13"/>
        <v>112537.5</v>
      </c>
      <c r="P34" s="13">
        <f t="shared" si="23"/>
        <v>14100</v>
      </c>
      <c r="Q34" s="4">
        <v>0.0</v>
      </c>
      <c r="R34" s="13">
        <f t="shared" ref="R34:T34" si="38">X33</f>
        <v>7200</v>
      </c>
      <c r="S34" s="13">
        <f t="shared" si="38"/>
        <v>12000</v>
      </c>
      <c r="T34" s="13">
        <f t="shared" si="38"/>
        <v>0</v>
      </c>
      <c r="U34" s="13">
        <f t="shared" si="25"/>
        <v>33300</v>
      </c>
      <c r="V34" s="13">
        <f t="shared" si="15"/>
        <v>15862.5</v>
      </c>
      <c r="W34" s="4">
        <v>0.0</v>
      </c>
      <c r="X34" s="13">
        <f t="shared" ref="X34:Z34" si="39">R34+D34</f>
        <v>8100</v>
      </c>
      <c r="Y34" s="13">
        <f t="shared" si="39"/>
        <v>13500</v>
      </c>
      <c r="Z34" s="13">
        <f t="shared" si="39"/>
        <v>0</v>
      </c>
      <c r="AB34" s="13">
        <f t="shared" si="17"/>
        <v>37462.5</v>
      </c>
    </row>
    <row r="35">
      <c r="A35" s="13">
        <f t="shared" si="27"/>
        <v>2034</v>
      </c>
      <c r="B35" s="13">
        <f t="shared" si="18"/>
        <v>1200</v>
      </c>
      <c r="C35" s="13">
        <f t="shared" si="19"/>
        <v>562.5</v>
      </c>
      <c r="D35" s="13">
        <f t="shared" si="20"/>
        <v>900</v>
      </c>
      <c r="E35" s="13">
        <f t="shared" si="21"/>
        <v>1500</v>
      </c>
      <c r="F35" s="13">
        <f t="shared" si="22"/>
        <v>0</v>
      </c>
      <c r="G35" s="13">
        <f t="shared" si="6"/>
        <v>4162.5</v>
      </c>
      <c r="H35" s="13">
        <f t="shared" si="7"/>
        <v>1762.5</v>
      </c>
      <c r="I35" s="13">
        <f t="shared" si="8"/>
        <v>64875</v>
      </c>
      <c r="J35" s="80">
        <f t="shared" si="9"/>
        <v>13500</v>
      </c>
      <c r="K35" s="13">
        <f t="shared" si="10"/>
        <v>7500</v>
      </c>
      <c r="L35" s="13">
        <f t="shared" si="11"/>
        <v>0</v>
      </c>
      <c r="N35" s="13">
        <f t="shared" si="12"/>
        <v>22500</v>
      </c>
      <c r="O35" s="13">
        <f t="shared" si="13"/>
        <v>108375</v>
      </c>
      <c r="P35" s="13">
        <f t="shared" si="23"/>
        <v>15862.5</v>
      </c>
      <c r="Q35" s="4">
        <v>0.0</v>
      </c>
      <c r="R35" s="13">
        <f t="shared" ref="R35:T35" si="40">X34</f>
        <v>8100</v>
      </c>
      <c r="S35" s="13">
        <f t="shared" si="40"/>
        <v>13500</v>
      </c>
      <c r="T35" s="13">
        <f t="shared" si="40"/>
        <v>0</v>
      </c>
      <c r="U35" s="13">
        <f t="shared" si="25"/>
        <v>37462.5</v>
      </c>
      <c r="V35" s="13">
        <f t="shared" si="15"/>
        <v>17625</v>
      </c>
      <c r="W35" s="4">
        <v>0.0</v>
      </c>
      <c r="X35" s="13">
        <f t="shared" ref="X35:Z35" si="41">R35+D35</f>
        <v>9000</v>
      </c>
      <c r="Y35" s="13">
        <f t="shared" si="41"/>
        <v>15000</v>
      </c>
      <c r="Z35" s="13">
        <f t="shared" si="41"/>
        <v>0</v>
      </c>
      <c r="AB35" s="13">
        <f t="shared" si="17"/>
        <v>41625</v>
      </c>
    </row>
    <row r="36">
      <c r="A36" s="13">
        <f t="shared" si="27"/>
        <v>2035</v>
      </c>
      <c r="B36" s="13">
        <f t="shared" si="18"/>
        <v>1200</v>
      </c>
      <c r="C36" s="13">
        <f t="shared" si="19"/>
        <v>562.5</v>
      </c>
      <c r="D36" s="13">
        <f t="shared" si="20"/>
        <v>900</v>
      </c>
      <c r="E36" s="13">
        <f t="shared" si="21"/>
        <v>1500</v>
      </c>
      <c r="F36" s="13">
        <f t="shared" si="22"/>
        <v>0</v>
      </c>
      <c r="G36" s="13">
        <f t="shared" si="6"/>
        <v>4162.5</v>
      </c>
      <c r="H36" s="13">
        <f t="shared" si="7"/>
        <v>1762.5</v>
      </c>
      <c r="I36" s="13">
        <f t="shared" si="8"/>
        <v>63112.5</v>
      </c>
      <c r="J36" s="80">
        <f t="shared" si="9"/>
        <v>12600</v>
      </c>
      <c r="K36" s="13">
        <f t="shared" si="10"/>
        <v>6000</v>
      </c>
      <c r="L36" s="13">
        <f t="shared" si="11"/>
        <v>0</v>
      </c>
      <c r="N36" s="13">
        <f t="shared" si="12"/>
        <v>22500</v>
      </c>
      <c r="O36" s="13">
        <f t="shared" si="13"/>
        <v>104212.5</v>
      </c>
      <c r="P36" s="13">
        <f t="shared" si="23"/>
        <v>17625</v>
      </c>
      <c r="Q36" s="4">
        <v>0.0</v>
      </c>
      <c r="R36" s="13">
        <f t="shared" ref="R36:T36" si="42">X35</f>
        <v>9000</v>
      </c>
      <c r="S36" s="13">
        <f t="shared" si="42"/>
        <v>15000</v>
      </c>
      <c r="T36" s="13">
        <f t="shared" si="42"/>
        <v>0</v>
      </c>
      <c r="U36" s="13">
        <f t="shared" si="25"/>
        <v>41625</v>
      </c>
      <c r="V36" s="13">
        <f t="shared" si="15"/>
        <v>19387.5</v>
      </c>
      <c r="W36" s="4">
        <v>0.0</v>
      </c>
      <c r="X36" s="13">
        <f t="shared" ref="X36:Z36" si="43">R36+D36</f>
        <v>9900</v>
      </c>
      <c r="Y36" s="13">
        <f t="shared" si="43"/>
        <v>16500</v>
      </c>
      <c r="Z36" s="13">
        <f t="shared" si="43"/>
        <v>0</v>
      </c>
      <c r="AB36" s="13">
        <f t="shared" si="17"/>
        <v>45787.5</v>
      </c>
    </row>
    <row r="37">
      <c r="A37" s="13">
        <f t="shared" si="27"/>
        <v>2036</v>
      </c>
      <c r="B37" s="13">
        <f t="shared" si="18"/>
        <v>1200</v>
      </c>
      <c r="C37" s="13">
        <f t="shared" si="19"/>
        <v>562.5</v>
      </c>
      <c r="D37" s="13">
        <f t="shared" si="20"/>
        <v>900</v>
      </c>
      <c r="E37" s="13">
        <f t="shared" si="21"/>
        <v>1500</v>
      </c>
      <c r="F37" s="13">
        <f t="shared" si="22"/>
        <v>0</v>
      </c>
      <c r="G37" s="13">
        <f t="shared" si="6"/>
        <v>4162.5</v>
      </c>
      <c r="H37" s="13">
        <f t="shared" si="7"/>
        <v>1762.5</v>
      </c>
      <c r="I37" s="13">
        <f t="shared" si="8"/>
        <v>61350</v>
      </c>
      <c r="J37" s="80">
        <f t="shared" si="9"/>
        <v>11700</v>
      </c>
      <c r="K37" s="13">
        <f t="shared" si="10"/>
        <v>4500</v>
      </c>
      <c r="L37" s="13">
        <f t="shared" si="11"/>
        <v>0</v>
      </c>
      <c r="N37" s="13">
        <f t="shared" si="12"/>
        <v>22500</v>
      </c>
      <c r="O37" s="13">
        <f t="shared" si="13"/>
        <v>100050</v>
      </c>
      <c r="P37" s="13">
        <f t="shared" si="23"/>
        <v>19387.5</v>
      </c>
      <c r="Q37" s="4">
        <v>0.0</v>
      </c>
      <c r="R37" s="13">
        <f t="shared" ref="R37:T37" si="44">X36</f>
        <v>9900</v>
      </c>
      <c r="S37" s="13">
        <f t="shared" si="44"/>
        <v>16500</v>
      </c>
      <c r="T37" s="13">
        <f t="shared" si="44"/>
        <v>0</v>
      </c>
      <c r="U37" s="13">
        <f t="shared" si="25"/>
        <v>45787.5</v>
      </c>
      <c r="V37" s="13">
        <f t="shared" si="15"/>
        <v>21150</v>
      </c>
      <c r="W37" s="4">
        <v>0.0</v>
      </c>
      <c r="X37" s="13">
        <f t="shared" ref="X37:Z37" si="45">R37+D37</f>
        <v>10800</v>
      </c>
      <c r="Y37" s="13">
        <f t="shared" si="45"/>
        <v>18000</v>
      </c>
      <c r="Z37" s="13">
        <f t="shared" si="45"/>
        <v>0</v>
      </c>
      <c r="AB37" s="13">
        <f t="shared" si="17"/>
        <v>49950</v>
      </c>
    </row>
    <row r="38">
      <c r="A38" s="13">
        <f t="shared" si="27"/>
        <v>2037</v>
      </c>
      <c r="B38" s="13">
        <f t="shared" si="18"/>
        <v>1200</v>
      </c>
      <c r="C38" s="13">
        <f t="shared" si="19"/>
        <v>562.5</v>
      </c>
      <c r="D38" s="13">
        <f t="shared" si="20"/>
        <v>900</v>
      </c>
      <c r="E38" s="13">
        <f t="shared" si="21"/>
        <v>1500</v>
      </c>
      <c r="F38" s="13">
        <f t="shared" si="22"/>
        <v>0</v>
      </c>
      <c r="G38" s="13">
        <f t="shared" si="6"/>
        <v>4162.5</v>
      </c>
      <c r="H38" s="13">
        <f t="shared" si="7"/>
        <v>1762.5</v>
      </c>
      <c r="I38" s="13">
        <f t="shared" si="8"/>
        <v>59587.5</v>
      </c>
      <c r="J38" s="80">
        <f t="shared" si="9"/>
        <v>10800</v>
      </c>
      <c r="K38" s="13">
        <f t="shared" si="10"/>
        <v>3000</v>
      </c>
      <c r="L38" s="13">
        <f t="shared" si="11"/>
        <v>0</v>
      </c>
      <c r="N38" s="13">
        <f t="shared" si="12"/>
        <v>22500</v>
      </c>
      <c r="O38" s="13">
        <f t="shared" si="13"/>
        <v>95887.5</v>
      </c>
      <c r="P38" s="13">
        <f t="shared" si="23"/>
        <v>21150</v>
      </c>
      <c r="Q38" s="4">
        <v>0.0</v>
      </c>
      <c r="R38" s="13">
        <f t="shared" ref="R38:T38" si="46">X37</f>
        <v>10800</v>
      </c>
      <c r="S38" s="13">
        <f t="shared" si="46"/>
        <v>18000</v>
      </c>
      <c r="T38" s="13">
        <f t="shared" si="46"/>
        <v>0</v>
      </c>
      <c r="U38" s="13">
        <f t="shared" si="25"/>
        <v>49950</v>
      </c>
      <c r="V38" s="13">
        <f t="shared" si="15"/>
        <v>22912.5</v>
      </c>
      <c r="W38" s="4">
        <v>0.0</v>
      </c>
      <c r="X38" s="13">
        <f t="shared" ref="X38:Z38" si="47">R38+D38</f>
        <v>11700</v>
      </c>
      <c r="Y38" s="13">
        <f t="shared" si="47"/>
        <v>19500</v>
      </c>
      <c r="Z38" s="13">
        <f t="shared" si="47"/>
        <v>0</v>
      </c>
      <c r="AB38" s="13">
        <f t="shared" si="17"/>
        <v>54112.5</v>
      </c>
    </row>
    <row r="39">
      <c r="A39" s="13">
        <f t="shared" si="27"/>
        <v>2038</v>
      </c>
      <c r="B39" s="13">
        <f t="shared" si="18"/>
        <v>1200</v>
      </c>
      <c r="C39" s="13">
        <f t="shared" si="19"/>
        <v>562.5</v>
      </c>
      <c r="D39" s="13">
        <f t="shared" si="20"/>
        <v>900</v>
      </c>
      <c r="E39" s="13">
        <f t="shared" si="21"/>
        <v>1500</v>
      </c>
      <c r="F39" s="13">
        <f t="shared" si="22"/>
        <v>0</v>
      </c>
      <c r="G39" s="13">
        <f t="shared" si="6"/>
        <v>4162.5</v>
      </c>
      <c r="H39" s="13">
        <f t="shared" si="7"/>
        <v>1762.5</v>
      </c>
      <c r="I39" s="13">
        <f t="shared" si="8"/>
        <v>57825</v>
      </c>
      <c r="J39" s="80">
        <f t="shared" si="9"/>
        <v>9900</v>
      </c>
      <c r="K39" s="13">
        <f t="shared" si="10"/>
        <v>1500</v>
      </c>
      <c r="L39" s="13">
        <f t="shared" si="11"/>
        <v>0</v>
      </c>
      <c r="N39" s="13">
        <f t="shared" si="12"/>
        <v>22500</v>
      </c>
      <c r="O39" s="13">
        <f t="shared" si="13"/>
        <v>91725</v>
      </c>
      <c r="P39" s="13">
        <f t="shared" si="23"/>
        <v>22912.5</v>
      </c>
      <c r="Q39" s="4">
        <v>0.0</v>
      </c>
      <c r="R39" s="13">
        <f t="shared" ref="R39:T39" si="48">X38</f>
        <v>11700</v>
      </c>
      <c r="S39" s="13">
        <f t="shared" si="48"/>
        <v>19500</v>
      </c>
      <c r="T39" s="13">
        <f t="shared" si="48"/>
        <v>0</v>
      </c>
      <c r="U39" s="13">
        <f t="shared" si="25"/>
        <v>54112.5</v>
      </c>
      <c r="V39" s="13">
        <f t="shared" si="15"/>
        <v>24675</v>
      </c>
      <c r="W39" s="4">
        <v>0.0</v>
      </c>
      <c r="X39" s="13">
        <f t="shared" ref="X39:Z39" si="49">R39+D39</f>
        <v>12600</v>
      </c>
      <c r="Y39" s="13">
        <f t="shared" si="49"/>
        <v>21000</v>
      </c>
      <c r="Z39" s="13">
        <f t="shared" si="49"/>
        <v>0</v>
      </c>
      <c r="AB39" s="13">
        <f t="shared" si="17"/>
        <v>58275</v>
      </c>
    </row>
    <row r="40">
      <c r="A40" s="13">
        <f t="shared" si="27"/>
        <v>2039</v>
      </c>
      <c r="B40" s="13">
        <f t="shared" si="18"/>
        <v>1200</v>
      </c>
      <c r="C40" s="13">
        <f t="shared" si="19"/>
        <v>562.5</v>
      </c>
      <c r="D40" s="13">
        <f t="shared" si="20"/>
        <v>900</v>
      </c>
      <c r="E40" s="13">
        <f t="shared" si="21"/>
        <v>1500</v>
      </c>
      <c r="F40" s="13">
        <f t="shared" si="22"/>
        <v>0</v>
      </c>
      <c r="G40" s="13">
        <f t="shared" si="6"/>
        <v>4162.5</v>
      </c>
      <c r="H40" s="13">
        <f t="shared" si="7"/>
        <v>1762.5</v>
      </c>
      <c r="I40" s="13">
        <f t="shared" si="8"/>
        <v>56062.5</v>
      </c>
      <c r="J40" s="80">
        <f t="shared" si="9"/>
        <v>9000</v>
      </c>
      <c r="K40" s="13">
        <f t="shared" si="10"/>
        <v>0</v>
      </c>
      <c r="L40" s="13">
        <f t="shared" si="11"/>
        <v>0</v>
      </c>
      <c r="N40" s="13">
        <f t="shared" si="12"/>
        <v>22500</v>
      </c>
      <c r="O40" s="13">
        <f t="shared" si="13"/>
        <v>87562.5</v>
      </c>
      <c r="P40" s="13">
        <f t="shared" si="23"/>
        <v>24675</v>
      </c>
      <c r="Q40" s="4">
        <v>0.0</v>
      </c>
      <c r="R40" s="13">
        <f t="shared" ref="R40:T40" si="50">X39</f>
        <v>12600</v>
      </c>
      <c r="S40" s="13">
        <f t="shared" si="50"/>
        <v>21000</v>
      </c>
      <c r="T40" s="13">
        <f t="shared" si="50"/>
        <v>0</v>
      </c>
      <c r="U40" s="13">
        <f t="shared" si="25"/>
        <v>58275</v>
      </c>
      <c r="V40" s="13">
        <f t="shared" si="15"/>
        <v>26437.5</v>
      </c>
      <c r="W40" s="4">
        <v>0.0</v>
      </c>
      <c r="X40" s="13">
        <f t="shared" ref="X40:Z40" si="51">R40+D40</f>
        <v>13500</v>
      </c>
      <c r="Y40" s="13">
        <f t="shared" si="51"/>
        <v>22500</v>
      </c>
      <c r="Z40" s="13">
        <f t="shared" si="51"/>
        <v>0</v>
      </c>
      <c r="AB40" s="13">
        <f t="shared" si="17"/>
        <v>62437.5</v>
      </c>
    </row>
    <row r="41">
      <c r="A41" s="13">
        <f t="shared" si="27"/>
        <v>2040</v>
      </c>
      <c r="B41" s="13">
        <f t="shared" si="18"/>
        <v>1200</v>
      </c>
      <c r="C41" s="13">
        <f t="shared" si="19"/>
        <v>562.5</v>
      </c>
      <c r="D41" s="13">
        <f t="shared" si="20"/>
        <v>900</v>
      </c>
      <c r="E41" s="13">
        <f t="shared" si="21"/>
        <v>0</v>
      </c>
      <c r="F41" s="13">
        <f t="shared" si="22"/>
        <v>0</v>
      </c>
      <c r="G41" s="13">
        <f t="shared" si="6"/>
        <v>2662.5</v>
      </c>
      <c r="H41" s="13">
        <f t="shared" si="7"/>
        <v>1762.5</v>
      </c>
      <c r="I41" s="13">
        <f t="shared" si="8"/>
        <v>54300</v>
      </c>
      <c r="J41" s="80">
        <f t="shared" si="9"/>
        <v>8100</v>
      </c>
      <c r="K41" s="13">
        <f t="shared" si="10"/>
        <v>0</v>
      </c>
      <c r="L41" s="13">
        <f t="shared" si="11"/>
        <v>0</v>
      </c>
      <c r="N41" s="13">
        <f t="shared" si="12"/>
        <v>22500</v>
      </c>
      <c r="O41" s="13">
        <f t="shared" si="13"/>
        <v>84900</v>
      </c>
      <c r="P41" s="13">
        <f t="shared" si="23"/>
        <v>26437.5</v>
      </c>
      <c r="Q41" s="4">
        <v>0.0</v>
      </c>
      <c r="R41" s="13">
        <f t="shared" ref="R41:T41" si="52">X40</f>
        <v>13500</v>
      </c>
      <c r="S41" s="13">
        <f t="shared" si="52"/>
        <v>22500</v>
      </c>
      <c r="T41" s="13">
        <f t="shared" si="52"/>
        <v>0</v>
      </c>
      <c r="U41" s="13">
        <f t="shared" si="25"/>
        <v>62437.5</v>
      </c>
      <c r="V41" s="13">
        <f t="shared" si="15"/>
        <v>28200</v>
      </c>
      <c r="W41" s="4">
        <v>0.0</v>
      </c>
      <c r="X41" s="13">
        <f t="shared" ref="X41:Z41" si="53">R41+D41</f>
        <v>14400</v>
      </c>
      <c r="Y41" s="13">
        <f t="shared" si="53"/>
        <v>22500</v>
      </c>
      <c r="Z41" s="13">
        <f t="shared" si="53"/>
        <v>0</v>
      </c>
      <c r="AB41" s="13">
        <f t="shared" si="17"/>
        <v>65100</v>
      </c>
    </row>
    <row r="42">
      <c r="A42" s="13">
        <f t="shared" si="27"/>
        <v>2041</v>
      </c>
      <c r="B42" s="13">
        <f t="shared" si="18"/>
        <v>1200</v>
      </c>
      <c r="C42" s="13">
        <f t="shared" si="19"/>
        <v>562.5</v>
      </c>
      <c r="D42" s="13">
        <f t="shared" si="20"/>
        <v>900</v>
      </c>
      <c r="E42" s="13">
        <f t="shared" si="21"/>
        <v>0</v>
      </c>
      <c r="F42" s="13">
        <f t="shared" si="22"/>
        <v>0</v>
      </c>
      <c r="G42" s="13">
        <f t="shared" si="6"/>
        <v>2662.5</v>
      </c>
      <c r="H42" s="13">
        <f t="shared" si="7"/>
        <v>1762.5</v>
      </c>
      <c r="I42" s="13">
        <f t="shared" si="8"/>
        <v>52537.5</v>
      </c>
      <c r="J42" s="80">
        <f t="shared" si="9"/>
        <v>7200</v>
      </c>
      <c r="K42" s="13">
        <f t="shared" si="10"/>
        <v>0</v>
      </c>
      <c r="L42" s="13">
        <f t="shared" si="11"/>
        <v>0</v>
      </c>
      <c r="N42" s="13">
        <f t="shared" si="12"/>
        <v>22500</v>
      </c>
      <c r="O42" s="13">
        <f t="shared" si="13"/>
        <v>82237.5</v>
      </c>
      <c r="P42" s="13">
        <f t="shared" si="23"/>
        <v>28200</v>
      </c>
      <c r="Q42" s="4">
        <v>0.0</v>
      </c>
      <c r="R42" s="13">
        <f t="shared" ref="R42:T42" si="54">X41</f>
        <v>14400</v>
      </c>
      <c r="S42" s="13">
        <f t="shared" si="54"/>
        <v>22500</v>
      </c>
      <c r="T42" s="13">
        <f t="shared" si="54"/>
        <v>0</v>
      </c>
      <c r="U42" s="13">
        <f t="shared" si="25"/>
        <v>65100</v>
      </c>
      <c r="V42" s="13">
        <f t="shared" si="15"/>
        <v>29962.5</v>
      </c>
      <c r="W42" s="4">
        <v>0.0</v>
      </c>
      <c r="X42" s="13">
        <f t="shared" ref="X42:Z42" si="55">R42+D42</f>
        <v>15300</v>
      </c>
      <c r="Y42" s="13">
        <f t="shared" si="55"/>
        <v>22500</v>
      </c>
      <c r="Z42" s="13">
        <f t="shared" si="55"/>
        <v>0</v>
      </c>
      <c r="AB42" s="13">
        <f t="shared" si="17"/>
        <v>67762.5</v>
      </c>
    </row>
    <row r="43">
      <c r="A43" s="13">
        <f t="shared" si="27"/>
        <v>2042</v>
      </c>
      <c r="B43" s="13">
        <f t="shared" si="18"/>
        <v>1200</v>
      </c>
      <c r="C43" s="13">
        <f t="shared" si="19"/>
        <v>562.5</v>
      </c>
      <c r="D43" s="13">
        <f t="shared" si="20"/>
        <v>900</v>
      </c>
      <c r="E43" s="13">
        <f t="shared" si="21"/>
        <v>0</v>
      </c>
      <c r="F43" s="13">
        <f t="shared" si="22"/>
        <v>0</v>
      </c>
      <c r="G43" s="13">
        <f t="shared" si="6"/>
        <v>2662.5</v>
      </c>
      <c r="H43" s="13">
        <f t="shared" si="7"/>
        <v>1762.5</v>
      </c>
      <c r="I43" s="13">
        <f t="shared" si="8"/>
        <v>50775</v>
      </c>
      <c r="J43" s="80">
        <f t="shared" si="9"/>
        <v>6300</v>
      </c>
      <c r="K43" s="13">
        <f t="shared" si="10"/>
        <v>0</v>
      </c>
      <c r="L43" s="13">
        <f t="shared" si="11"/>
        <v>0</v>
      </c>
      <c r="N43" s="13">
        <f t="shared" si="12"/>
        <v>22500</v>
      </c>
      <c r="O43" s="13">
        <f t="shared" si="13"/>
        <v>79575</v>
      </c>
      <c r="P43" s="13">
        <f t="shared" si="23"/>
        <v>29962.5</v>
      </c>
      <c r="Q43" s="4">
        <v>0.0</v>
      </c>
      <c r="R43" s="13">
        <f t="shared" ref="R43:T43" si="56">X42</f>
        <v>15300</v>
      </c>
      <c r="S43" s="13">
        <f t="shared" si="56"/>
        <v>22500</v>
      </c>
      <c r="T43" s="13">
        <f t="shared" si="56"/>
        <v>0</v>
      </c>
      <c r="U43" s="13">
        <f t="shared" si="25"/>
        <v>67762.5</v>
      </c>
      <c r="V43" s="13">
        <f t="shared" si="15"/>
        <v>31725</v>
      </c>
      <c r="W43" s="4">
        <v>0.0</v>
      </c>
      <c r="X43" s="13">
        <f t="shared" ref="X43:Z43" si="57">R43+D43</f>
        <v>16200</v>
      </c>
      <c r="Y43" s="13">
        <f t="shared" si="57"/>
        <v>22500</v>
      </c>
      <c r="Z43" s="13">
        <f t="shared" si="57"/>
        <v>0</v>
      </c>
      <c r="AB43" s="13">
        <f t="shared" si="17"/>
        <v>70425</v>
      </c>
    </row>
    <row r="44">
      <c r="A44" s="13">
        <f t="shared" si="27"/>
        <v>2043</v>
      </c>
      <c r="B44" s="13">
        <f t="shared" si="18"/>
        <v>1200</v>
      </c>
      <c r="C44" s="13">
        <f t="shared" si="19"/>
        <v>562.5</v>
      </c>
      <c r="D44" s="13">
        <f t="shared" si="20"/>
        <v>900</v>
      </c>
      <c r="E44" s="13">
        <f t="shared" si="21"/>
        <v>0</v>
      </c>
      <c r="F44" s="13">
        <f t="shared" si="22"/>
        <v>0</v>
      </c>
      <c r="G44" s="13">
        <f t="shared" si="6"/>
        <v>2662.5</v>
      </c>
      <c r="H44" s="13">
        <f t="shared" si="7"/>
        <v>1762.5</v>
      </c>
      <c r="I44" s="13">
        <f t="shared" si="8"/>
        <v>49012.5</v>
      </c>
      <c r="J44" s="80">
        <f t="shared" si="9"/>
        <v>5400</v>
      </c>
      <c r="K44" s="13">
        <f t="shared" si="10"/>
        <v>0</v>
      </c>
      <c r="L44" s="13">
        <f t="shared" si="11"/>
        <v>0</v>
      </c>
      <c r="N44" s="13">
        <f t="shared" si="12"/>
        <v>22500</v>
      </c>
      <c r="O44" s="13">
        <f t="shared" si="13"/>
        <v>76912.5</v>
      </c>
      <c r="P44" s="13">
        <f t="shared" si="23"/>
        <v>31725</v>
      </c>
      <c r="Q44" s="4">
        <v>0.0</v>
      </c>
      <c r="R44" s="13">
        <f t="shared" ref="R44:T44" si="58">X43</f>
        <v>16200</v>
      </c>
      <c r="S44" s="13">
        <f t="shared" si="58"/>
        <v>22500</v>
      </c>
      <c r="T44" s="13">
        <f t="shared" si="58"/>
        <v>0</v>
      </c>
      <c r="U44" s="13">
        <f t="shared" si="25"/>
        <v>70425</v>
      </c>
      <c r="V44" s="13">
        <f t="shared" si="15"/>
        <v>33487.5</v>
      </c>
      <c r="W44" s="4">
        <v>0.0</v>
      </c>
      <c r="X44" s="13">
        <f t="shared" ref="X44:Z44" si="59">R44+D44</f>
        <v>17100</v>
      </c>
      <c r="Y44" s="13">
        <f t="shared" si="59"/>
        <v>22500</v>
      </c>
      <c r="Z44" s="13">
        <f t="shared" si="59"/>
        <v>0</v>
      </c>
      <c r="AB44" s="13">
        <f t="shared" si="17"/>
        <v>73087.5</v>
      </c>
    </row>
    <row r="45">
      <c r="A45" s="13">
        <f t="shared" si="27"/>
        <v>2044</v>
      </c>
      <c r="B45" s="13">
        <f t="shared" si="18"/>
        <v>1200</v>
      </c>
      <c r="C45" s="13">
        <f t="shared" si="19"/>
        <v>562.5</v>
      </c>
      <c r="D45" s="13">
        <f t="shared" si="20"/>
        <v>900</v>
      </c>
      <c r="E45" s="13">
        <f t="shared" si="21"/>
        <v>0</v>
      </c>
      <c r="F45" s="13">
        <f t="shared" si="22"/>
        <v>0</v>
      </c>
      <c r="G45" s="13">
        <f t="shared" si="6"/>
        <v>2662.5</v>
      </c>
      <c r="H45" s="13">
        <f t="shared" si="7"/>
        <v>1762.5</v>
      </c>
      <c r="I45" s="13">
        <f t="shared" si="8"/>
        <v>47250</v>
      </c>
      <c r="J45" s="80">
        <f t="shared" si="9"/>
        <v>4500</v>
      </c>
      <c r="K45" s="13">
        <f t="shared" si="10"/>
        <v>0</v>
      </c>
      <c r="L45" s="13">
        <f t="shared" si="11"/>
        <v>0</v>
      </c>
      <c r="N45" s="13">
        <f t="shared" si="12"/>
        <v>22500</v>
      </c>
      <c r="O45" s="13">
        <f t="shared" si="13"/>
        <v>74250</v>
      </c>
      <c r="P45" s="13">
        <f t="shared" si="23"/>
        <v>33487.5</v>
      </c>
      <c r="Q45" s="4">
        <v>0.0</v>
      </c>
      <c r="R45" s="13">
        <f t="shared" ref="R45:T45" si="60">X44</f>
        <v>17100</v>
      </c>
      <c r="S45" s="13">
        <f t="shared" si="60"/>
        <v>22500</v>
      </c>
      <c r="T45" s="13">
        <f t="shared" si="60"/>
        <v>0</v>
      </c>
      <c r="U45" s="13">
        <f t="shared" si="25"/>
        <v>73087.5</v>
      </c>
      <c r="V45" s="13">
        <f t="shared" si="15"/>
        <v>35250</v>
      </c>
      <c r="W45" s="4">
        <v>0.0</v>
      </c>
      <c r="X45" s="13">
        <f t="shared" ref="X45:Z45" si="61">R45+D45</f>
        <v>18000</v>
      </c>
      <c r="Y45" s="13">
        <f t="shared" si="61"/>
        <v>22500</v>
      </c>
      <c r="Z45" s="13">
        <f t="shared" si="61"/>
        <v>0</v>
      </c>
      <c r="AB45" s="13">
        <f t="shared" si="17"/>
        <v>75750</v>
      </c>
    </row>
    <row r="46">
      <c r="A46" s="13">
        <f t="shared" si="27"/>
        <v>2045</v>
      </c>
      <c r="B46" s="13">
        <f t="shared" si="18"/>
        <v>1200</v>
      </c>
      <c r="C46" s="13">
        <f t="shared" si="19"/>
        <v>562.5</v>
      </c>
      <c r="D46" s="13">
        <f t="shared" si="20"/>
        <v>900</v>
      </c>
      <c r="E46" s="13">
        <f t="shared" si="21"/>
        <v>0</v>
      </c>
      <c r="F46" s="13">
        <f t="shared" si="22"/>
        <v>0</v>
      </c>
      <c r="G46" s="13">
        <f t="shared" si="6"/>
        <v>2662.5</v>
      </c>
      <c r="H46" s="13">
        <f t="shared" si="7"/>
        <v>1762.5</v>
      </c>
      <c r="I46" s="13">
        <f t="shared" si="8"/>
        <v>45487.5</v>
      </c>
      <c r="J46" s="80">
        <f t="shared" si="9"/>
        <v>3600</v>
      </c>
      <c r="K46" s="13">
        <f t="shared" si="10"/>
        <v>0</v>
      </c>
      <c r="L46" s="13">
        <f t="shared" si="11"/>
        <v>0</v>
      </c>
      <c r="N46" s="13">
        <f t="shared" si="12"/>
        <v>22500</v>
      </c>
      <c r="O46" s="13">
        <f t="shared" si="13"/>
        <v>71587.5</v>
      </c>
      <c r="P46" s="13">
        <f t="shared" si="23"/>
        <v>35250</v>
      </c>
      <c r="Q46" s="4">
        <v>0.0</v>
      </c>
      <c r="R46" s="13">
        <f t="shared" ref="R46:T46" si="62">X45</f>
        <v>18000</v>
      </c>
      <c r="S46" s="13">
        <f t="shared" si="62"/>
        <v>22500</v>
      </c>
      <c r="T46" s="13">
        <f t="shared" si="62"/>
        <v>0</v>
      </c>
      <c r="U46" s="13">
        <f t="shared" si="25"/>
        <v>75750</v>
      </c>
      <c r="V46" s="13">
        <f t="shared" si="15"/>
        <v>37012.5</v>
      </c>
      <c r="W46" s="4">
        <v>0.0</v>
      </c>
      <c r="X46" s="13">
        <f t="shared" ref="X46:Z46" si="63">R46+D46</f>
        <v>18900</v>
      </c>
      <c r="Y46" s="13">
        <f t="shared" si="63"/>
        <v>22500</v>
      </c>
      <c r="Z46" s="13">
        <f t="shared" si="63"/>
        <v>0</v>
      </c>
      <c r="AB46" s="13">
        <f t="shared" si="17"/>
        <v>78412.5</v>
      </c>
    </row>
    <row r="47">
      <c r="A47" s="13">
        <f t="shared" si="27"/>
        <v>2046</v>
      </c>
      <c r="B47" s="13">
        <f t="shared" si="18"/>
        <v>1200</v>
      </c>
      <c r="C47" s="13">
        <f t="shared" si="19"/>
        <v>562.5</v>
      </c>
      <c r="D47" s="13">
        <f t="shared" si="20"/>
        <v>900</v>
      </c>
      <c r="E47" s="13">
        <f t="shared" si="21"/>
        <v>0</v>
      </c>
      <c r="F47" s="13">
        <f t="shared" si="22"/>
        <v>0</v>
      </c>
      <c r="G47" s="13">
        <f t="shared" si="6"/>
        <v>2662.5</v>
      </c>
      <c r="H47" s="13">
        <f t="shared" si="7"/>
        <v>1762.5</v>
      </c>
      <c r="I47" s="13">
        <f t="shared" si="8"/>
        <v>43725</v>
      </c>
      <c r="J47" s="80">
        <f t="shared" si="9"/>
        <v>2700</v>
      </c>
      <c r="K47" s="13">
        <f t="shared" si="10"/>
        <v>0</v>
      </c>
      <c r="L47" s="13">
        <f t="shared" si="11"/>
        <v>0</v>
      </c>
      <c r="N47" s="13">
        <f t="shared" si="12"/>
        <v>22500</v>
      </c>
      <c r="O47" s="13">
        <f t="shared" si="13"/>
        <v>68925</v>
      </c>
      <c r="P47" s="13">
        <f t="shared" si="23"/>
        <v>37012.5</v>
      </c>
      <c r="Q47" s="4">
        <v>0.0</v>
      </c>
      <c r="R47" s="13">
        <f t="shared" ref="R47:T47" si="64">X46</f>
        <v>18900</v>
      </c>
      <c r="S47" s="13">
        <f t="shared" si="64"/>
        <v>22500</v>
      </c>
      <c r="T47" s="13">
        <f t="shared" si="64"/>
        <v>0</v>
      </c>
      <c r="U47" s="13">
        <f t="shared" si="25"/>
        <v>78412.5</v>
      </c>
      <c r="V47" s="13">
        <f t="shared" si="15"/>
        <v>38775</v>
      </c>
      <c r="W47" s="4">
        <v>0.0</v>
      </c>
      <c r="X47" s="13">
        <f t="shared" ref="X47:Z47" si="65">R47+D47</f>
        <v>19800</v>
      </c>
      <c r="Y47" s="13">
        <f t="shared" si="65"/>
        <v>22500</v>
      </c>
      <c r="Z47" s="13">
        <f t="shared" si="65"/>
        <v>0</v>
      </c>
      <c r="AB47" s="13">
        <f t="shared" si="17"/>
        <v>81075</v>
      </c>
    </row>
    <row r="48">
      <c r="A48" s="13">
        <f t="shared" si="27"/>
        <v>2047</v>
      </c>
      <c r="B48" s="13">
        <f t="shared" si="18"/>
        <v>1200</v>
      </c>
      <c r="C48" s="13">
        <f t="shared" si="19"/>
        <v>562.5</v>
      </c>
      <c r="D48" s="13">
        <f t="shared" si="20"/>
        <v>900</v>
      </c>
      <c r="E48" s="13">
        <f t="shared" si="21"/>
        <v>0</v>
      </c>
      <c r="F48" s="13">
        <f t="shared" si="22"/>
        <v>0</v>
      </c>
      <c r="G48" s="13">
        <f t="shared" si="6"/>
        <v>2662.5</v>
      </c>
      <c r="H48" s="13">
        <f t="shared" si="7"/>
        <v>1762.5</v>
      </c>
      <c r="I48" s="13">
        <f t="shared" si="8"/>
        <v>41962.5</v>
      </c>
      <c r="J48" s="80">
        <f t="shared" si="9"/>
        <v>1800</v>
      </c>
      <c r="K48" s="13">
        <f t="shared" si="10"/>
        <v>0</v>
      </c>
      <c r="L48" s="13">
        <f t="shared" si="11"/>
        <v>0</v>
      </c>
      <c r="N48" s="13">
        <f t="shared" si="12"/>
        <v>22500</v>
      </c>
      <c r="O48" s="13">
        <f t="shared" si="13"/>
        <v>66262.5</v>
      </c>
      <c r="P48" s="13">
        <f t="shared" si="23"/>
        <v>38775</v>
      </c>
      <c r="Q48" s="4">
        <v>0.0</v>
      </c>
      <c r="R48" s="13">
        <f t="shared" ref="R48:T48" si="66">X47</f>
        <v>19800</v>
      </c>
      <c r="S48" s="13">
        <f t="shared" si="66"/>
        <v>22500</v>
      </c>
      <c r="T48" s="13">
        <f t="shared" si="66"/>
        <v>0</v>
      </c>
      <c r="U48" s="13">
        <f t="shared" si="25"/>
        <v>81075</v>
      </c>
      <c r="V48" s="13">
        <f t="shared" si="15"/>
        <v>40537.5</v>
      </c>
      <c r="W48" s="4">
        <v>0.0</v>
      </c>
      <c r="X48" s="13">
        <f t="shared" ref="X48:Z48" si="67">R48+D48</f>
        <v>20700</v>
      </c>
      <c r="Y48" s="13">
        <f t="shared" si="67"/>
        <v>22500</v>
      </c>
      <c r="Z48" s="13">
        <f t="shared" si="67"/>
        <v>0</v>
      </c>
      <c r="AB48" s="13">
        <f t="shared" si="17"/>
        <v>83737.5</v>
      </c>
    </row>
    <row r="49">
      <c r="A49" s="13">
        <f t="shared" si="27"/>
        <v>2048</v>
      </c>
      <c r="B49" s="13">
        <f t="shared" si="18"/>
        <v>1200</v>
      </c>
      <c r="C49" s="13">
        <f t="shared" si="19"/>
        <v>562.5</v>
      </c>
      <c r="D49" s="13">
        <f t="shared" si="20"/>
        <v>900</v>
      </c>
      <c r="E49" s="13">
        <f t="shared" si="21"/>
        <v>0</v>
      </c>
      <c r="F49" s="13">
        <f t="shared" si="22"/>
        <v>0</v>
      </c>
      <c r="G49" s="13">
        <f t="shared" si="6"/>
        <v>2662.5</v>
      </c>
      <c r="H49" s="13">
        <f t="shared" si="7"/>
        <v>1762.5</v>
      </c>
      <c r="I49" s="13">
        <f t="shared" si="8"/>
        <v>40200</v>
      </c>
      <c r="J49" s="80">
        <f t="shared" si="9"/>
        <v>900</v>
      </c>
      <c r="K49" s="13">
        <f t="shared" si="10"/>
        <v>0</v>
      </c>
      <c r="L49" s="13">
        <f t="shared" si="11"/>
        <v>0</v>
      </c>
      <c r="N49" s="13">
        <f t="shared" si="12"/>
        <v>22500</v>
      </c>
      <c r="O49" s="13">
        <f t="shared" si="13"/>
        <v>63600</v>
      </c>
      <c r="P49" s="13">
        <f t="shared" si="23"/>
        <v>40537.5</v>
      </c>
      <c r="Q49" s="4">
        <v>0.0</v>
      </c>
      <c r="R49" s="13">
        <f t="shared" ref="R49:T49" si="68">X48</f>
        <v>20700</v>
      </c>
      <c r="S49" s="13">
        <f t="shared" si="68"/>
        <v>22500</v>
      </c>
      <c r="T49" s="13">
        <f t="shared" si="68"/>
        <v>0</v>
      </c>
      <c r="U49" s="13">
        <f t="shared" si="25"/>
        <v>83737.5</v>
      </c>
      <c r="V49" s="13">
        <f t="shared" si="15"/>
        <v>42300</v>
      </c>
      <c r="W49" s="4">
        <v>0.0</v>
      </c>
      <c r="X49" s="13">
        <f t="shared" ref="X49:Z49" si="69">R49+D49</f>
        <v>21600</v>
      </c>
      <c r="Y49" s="13">
        <f t="shared" si="69"/>
        <v>22500</v>
      </c>
      <c r="Z49" s="13">
        <f t="shared" si="69"/>
        <v>0</v>
      </c>
      <c r="AB49" s="13">
        <f t="shared" si="17"/>
        <v>86400</v>
      </c>
    </row>
    <row r="50">
      <c r="A50" s="13">
        <f t="shared" si="27"/>
        <v>2049</v>
      </c>
      <c r="B50" s="13">
        <f t="shared" si="18"/>
        <v>1200</v>
      </c>
      <c r="C50" s="13">
        <f t="shared" si="19"/>
        <v>562.5</v>
      </c>
      <c r="D50" s="13">
        <f t="shared" si="20"/>
        <v>900</v>
      </c>
      <c r="E50" s="13">
        <f t="shared" si="21"/>
        <v>0</v>
      </c>
      <c r="F50" s="13">
        <f t="shared" si="22"/>
        <v>0</v>
      </c>
      <c r="G50" s="13">
        <f t="shared" si="6"/>
        <v>2662.5</v>
      </c>
      <c r="H50" s="13">
        <f t="shared" si="7"/>
        <v>1762.5</v>
      </c>
      <c r="I50" s="13">
        <f t="shared" si="8"/>
        <v>38437.5</v>
      </c>
      <c r="J50" s="80">
        <f t="shared" si="9"/>
        <v>0</v>
      </c>
      <c r="K50" s="13">
        <f t="shared" si="10"/>
        <v>0</v>
      </c>
      <c r="L50" s="13">
        <f t="shared" si="11"/>
        <v>0</v>
      </c>
      <c r="N50" s="13">
        <f t="shared" si="12"/>
        <v>22500</v>
      </c>
      <c r="O50" s="13">
        <f t="shared" si="13"/>
        <v>60937.5</v>
      </c>
      <c r="P50" s="13">
        <f t="shared" si="23"/>
        <v>42300</v>
      </c>
      <c r="Q50" s="4">
        <v>0.0</v>
      </c>
      <c r="R50" s="13">
        <f t="shared" ref="R50:T50" si="70">X49</f>
        <v>21600</v>
      </c>
      <c r="S50" s="13">
        <f t="shared" si="70"/>
        <v>22500</v>
      </c>
      <c r="T50" s="13">
        <f t="shared" si="70"/>
        <v>0</v>
      </c>
      <c r="U50" s="13">
        <f t="shared" si="25"/>
        <v>86400</v>
      </c>
      <c r="V50" s="13">
        <f t="shared" si="15"/>
        <v>44062.5</v>
      </c>
      <c r="W50" s="4">
        <v>0.0</v>
      </c>
      <c r="X50" s="13">
        <f t="shared" ref="X50:Z50" si="71">R50+D50</f>
        <v>22500</v>
      </c>
      <c r="Y50" s="13">
        <f t="shared" si="71"/>
        <v>22500</v>
      </c>
      <c r="Z50" s="13">
        <f t="shared" si="71"/>
        <v>0</v>
      </c>
      <c r="AB50" s="13">
        <f t="shared" si="17"/>
        <v>89062.5</v>
      </c>
    </row>
    <row r="51">
      <c r="A51" s="13">
        <f t="shared" si="27"/>
        <v>2050</v>
      </c>
      <c r="B51" s="13">
        <f t="shared" si="18"/>
        <v>1200</v>
      </c>
      <c r="C51" s="13">
        <f t="shared" si="19"/>
        <v>562.5</v>
      </c>
      <c r="D51" s="13">
        <f t="shared" si="20"/>
        <v>0</v>
      </c>
      <c r="E51" s="13">
        <f t="shared" si="21"/>
        <v>0</v>
      </c>
      <c r="F51" s="13">
        <f t="shared" si="22"/>
        <v>0</v>
      </c>
      <c r="G51" s="13">
        <f t="shared" si="6"/>
        <v>1762.5</v>
      </c>
      <c r="H51" s="13">
        <f t="shared" si="7"/>
        <v>1762.5</v>
      </c>
      <c r="I51" s="13">
        <f t="shared" si="8"/>
        <v>36675</v>
      </c>
      <c r="J51" s="80">
        <f t="shared" si="9"/>
        <v>0</v>
      </c>
      <c r="K51" s="13">
        <f t="shared" si="10"/>
        <v>0</v>
      </c>
      <c r="L51" s="13">
        <f t="shared" si="11"/>
        <v>0</v>
      </c>
      <c r="N51" s="13">
        <f t="shared" si="12"/>
        <v>22500</v>
      </c>
      <c r="O51" s="13">
        <f t="shared" si="13"/>
        <v>59175</v>
      </c>
      <c r="P51" s="13">
        <f t="shared" si="23"/>
        <v>44062.5</v>
      </c>
      <c r="Q51" s="4">
        <v>0.0</v>
      </c>
      <c r="R51" s="13">
        <f t="shared" ref="R51:T51" si="72">X50</f>
        <v>22500</v>
      </c>
      <c r="S51" s="13">
        <f t="shared" si="72"/>
        <v>22500</v>
      </c>
      <c r="T51" s="13">
        <f t="shared" si="72"/>
        <v>0</v>
      </c>
      <c r="U51" s="13">
        <f t="shared" si="25"/>
        <v>89062.5</v>
      </c>
      <c r="V51" s="13">
        <f t="shared" si="15"/>
        <v>45825</v>
      </c>
      <c r="W51" s="4">
        <v>0.0</v>
      </c>
      <c r="X51" s="13">
        <f t="shared" ref="X51:Z51" si="73">R51+D51</f>
        <v>22500</v>
      </c>
      <c r="Y51" s="13">
        <f t="shared" si="73"/>
        <v>22500</v>
      </c>
      <c r="Z51" s="13">
        <f t="shared" si="73"/>
        <v>0</v>
      </c>
      <c r="AB51" s="13">
        <f t="shared" si="17"/>
        <v>90825</v>
      </c>
    </row>
    <row r="52">
      <c r="A52" s="13">
        <f t="shared" si="27"/>
        <v>2051</v>
      </c>
      <c r="B52" s="13">
        <f t="shared" si="18"/>
        <v>1200</v>
      </c>
      <c r="C52" s="13">
        <f t="shared" si="19"/>
        <v>562.5</v>
      </c>
      <c r="D52" s="13">
        <f t="shared" si="20"/>
        <v>0</v>
      </c>
      <c r="E52" s="13">
        <f t="shared" si="21"/>
        <v>0</v>
      </c>
      <c r="F52" s="13">
        <f t="shared" si="22"/>
        <v>0</v>
      </c>
      <c r="G52" s="13">
        <f t="shared" si="6"/>
        <v>1762.5</v>
      </c>
      <c r="H52" s="13">
        <f t="shared" si="7"/>
        <v>1762.5</v>
      </c>
      <c r="I52" s="13">
        <f t="shared" si="8"/>
        <v>34912.5</v>
      </c>
      <c r="J52" s="80">
        <f t="shared" si="9"/>
        <v>0</v>
      </c>
      <c r="K52" s="13">
        <f t="shared" si="10"/>
        <v>0</v>
      </c>
      <c r="L52" s="13">
        <f t="shared" si="11"/>
        <v>0</v>
      </c>
      <c r="N52" s="13">
        <f t="shared" si="12"/>
        <v>22500</v>
      </c>
      <c r="O52" s="13">
        <f t="shared" si="13"/>
        <v>57412.5</v>
      </c>
      <c r="P52" s="13">
        <f t="shared" si="23"/>
        <v>45825</v>
      </c>
      <c r="Q52" s="4">
        <v>0.0</v>
      </c>
      <c r="R52" s="13">
        <f t="shared" ref="R52:T52" si="74">X51</f>
        <v>22500</v>
      </c>
      <c r="S52" s="13">
        <f t="shared" si="74"/>
        <v>22500</v>
      </c>
      <c r="T52" s="13">
        <f t="shared" si="74"/>
        <v>0</v>
      </c>
      <c r="U52" s="13">
        <f t="shared" si="25"/>
        <v>90825</v>
      </c>
      <c r="V52" s="13">
        <f t="shared" si="15"/>
        <v>47587.5</v>
      </c>
      <c r="W52" s="4">
        <v>0.0</v>
      </c>
      <c r="X52" s="13">
        <f t="shared" ref="X52:Z52" si="75">R52+D52</f>
        <v>22500</v>
      </c>
      <c r="Y52" s="13">
        <f t="shared" si="75"/>
        <v>22500</v>
      </c>
      <c r="Z52" s="13">
        <f t="shared" si="75"/>
        <v>0</v>
      </c>
      <c r="AB52" s="13">
        <f t="shared" si="17"/>
        <v>92587.5</v>
      </c>
    </row>
    <row r="53">
      <c r="A53" s="13">
        <f t="shared" si="27"/>
        <v>2052</v>
      </c>
      <c r="B53" s="13">
        <f t="shared" si="18"/>
        <v>1200</v>
      </c>
      <c r="C53" s="13">
        <f t="shared" si="19"/>
        <v>562.5</v>
      </c>
      <c r="D53" s="13">
        <f t="shared" si="20"/>
        <v>0</v>
      </c>
      <c r="E53" s="13">
        <f t="shared" si="21"/>
        <v>0</v>
      </c>
      <c r="F53" s="13">
        <f t="shared" si="22"/>
        <v>0</v>
      </c>
      <c r="G53" s="13">
        <f t="shared" si="6"/>
        <v>1762.5</v>
      </c>
      <c r="H53" s="13">
        <f t="shared" si="7"/>
        <v>1762.5</v>
      </c>
      <c r="I53" s="13">
        <f t="shared" si="8"/>
        <v>33150</v>
      </c>
      <c r="J53" s="80">
        <f t="shared" si="9"/>
        <v>0</v>
      </c>
      <c r="K53" s="13">
        <f t="shared" si="10"/>
        <v>0</v>
      </c>
      <c r="L53" s="13">
        <f t="shared" si="11"/>
        <v>0</v>
      </c>
      <c r="N53" s="13">
        <f t="shared" si="12"/>
        <v>22500</v>
      </c>
      <c r="O53" s="13">
        <f t="shared" si="13"/>
        <v>55650</v>
      </c>
      <c r="P53" s="13">
        <f t="shared" si="23"/>
        <v>47587.5</v>
      </c>
      <c r="Q53" s="4">
        <v>0.0</v>
      </c>
      <c r="R53" s="13">
        <f t="shared" ref="R53:T53" si="76">X52</f>
        <v>22500</v>
      </c>
      <c r="S53" s="13">
        <f t="shared" si="76"/>
        <v>22500</v>
      </c>
      <c r="T53" s="13">
        <f t="shared" si="76"/>
        <v>0</v>
      </c>
      <c r="U53" s="13">
        <f t="shared" si="25"/>
        <v>92587.5</v>
      </c>
      <c r="V53" s="13">
        <f t="shared" si="15"/>
        <v>49350</v>
      </c>
      <c r="W53" s="4">
        <v>0.0</v>
      </c>
      <c r="X53" s="13">
        <f t="shared" ref="X53:Z53" si="77">R53+D53</f>
        <v>22500</v>
      </c>
      <c r="Y53" s="13">
        <f t="shared" si="77"/>
        <v>22500</v>
      </c>
      <c r="Z53" s="13">
        <f t="shared" si="77"/>
        <v>0</v>
      </c>
      <c r="AB53" s="13">
        <f t="shared" si="17"/>
        <v>94350</v>
      </c>
    </row>
    <row r="54">
      <c r="A54" s="13">
        <f t="shared" si="27"/>
        <v>2053</v>
      </c>
      <c r="B54" s="13">
        <f t="shared" si="18"/>
        <v>1200</v>
      </c>
      <c r="C54" s="13">
        <f t="shared" si="19"/>
        <v>562.5</v>
      </c>
      <c r="D54" s="13">
        <f t="shared" si="20"/>
        <v>0</v>
      </c>
      <c r="E54" s="13">
        <f t="shared" si="21"/>
        <v>0</v>
      </c>
      <c r="F54" s="13">
        <f t="shared" si="22"/>
        <v>0</v>
      </c>
      <c r="G54" s="13">
        <f t="shared" si="6"/>
        <v>1762.5</v>
      </c>
      <c r="H54" s="13">
        <f t="shared" si="7"/>
        <v>1762.5</v>
      </c>
      <c r="I54" s="13">
        <f t="shared" si="8"/>
        <v>31387.5</v>
      </c>
      <c r="J54" s="80">
        <f t="shared" si="9"/>
        <v>0</v>
      </c>
      <c r="K54" s="13">
        <f t="shared" si="10"/>
        <v>0</v>
      </c>
      <c r="L54" s="13">
        <f t="shared" si="11"/>
        <v>0</v>
      </c>
      <c r="N54" s="13">
        <f t="shared" si="12"/>
        <v>22500</v>
      </c>
      <c r="O54" s="13">
        <f t="shared" si="13"/>
        <v>53887.5</v>
      </c>
      <c r="P54" s="13">
        <f t="shared" si="23"/>
        <v>49350</v>
      </c>
      <c r="Q54" s="4">
        <v>0.0</v>
      </c>
      <c r="R54" s="13">
        <f t="shared" ref="R54:T54" si="78">X53</f>
        <v>22500</v>
      </c>
      <c r="S54" s="13">
        <f t="shared" si="78"/>
        <v>22500</v>
      </c>
      <c r="T54" s="13">
        <f t="shared" si="78"/>
        <v>0</v>
      </c>
      <c r="U54" s="13">
        <f t="shared" si="25"/>
        <v>94350</v>
      </c>
      <c r="V54" s="13">
        <f t="shared" si="15"/>
        <v>51112.5</v>
      </c>
      <c r="W54" s="4">
        <v>0.0</v>
      </c>
      <c r="X54" s="13">
        <f t="shared" ref="X54:Z54" si="79">R54+D54</f>
        <v>22500</v>
      </c>
      <c r="Y54" s="13">
        <f t="shared" si="79"/>
        <v>22500</v>
      </c>
      <c r="Z54" s="13">
        <f t="shared" si="79"/>
        <v>0</v>
      </c>
      <c r="AB54" s="13">
        <f t="shared" si="17"/>
        <v>96112.5</v>
      </c>
    </row>
    <row r="55">
      <c r="A55" s="13">
        <f t="shared" si="27"/>
        <v>2054</v>
      </c>
      <c r="B55" s="13">
        <f t="shared" si="18"/>
        <v>1200</v>
      </c>
      <c r="C55" s="13">
        <f t="shared" si="19"/>
        <v>562.5</v>
      </c>
      <c r="D55" s="13">
        <f t="shared" si="20"/>
        <v>0</v>
      </c>
      <c r="E55" s="13">
        <f t="shared" si="21"/>
        <v>0</v>
      </c>
      <c r="F55" s="13">
        <f t="shared" si="22"/>
        <v>0</v>
      </c>
      <c r="G55" s="13">
        <f t="shared" si="6"/>
        <v>1762.5</v>
      </c>
      <c r="H55" s="13">
        <f t="shared" si="7"/>
        <v>1762.5</v>
      </c>
      <c r="I55" s="13">
        <f t="shared" si="8"/>
        <v>29625</v>
      </c>
      <c r="J55" s="80">
        <f t="shared" si="9"/>
        <v>0</v>
      </c>
      <c r="K55" s="13">
        <f t="shared" si="10"/>
        <v>0</v>
      </c>
      <c r="L55" s="13">
        <f t="shared" si="11"/>
        <v>0</v>
      </c>
      <c r="N55" s="13">
        <f t="shared" si="12"/>
        <v>22500</v>
      </c>
      <c r="O55" s="13">
        <f t="shared" si="13"/>
        <v>52125</v>
      </c>
      <c r="P55" s="13">
        <f t="shared" si="23"/>
        <v>51112.5</v>
      </c>
      <c r="Q55" s="4">
        <v>0.0</v>
      </c>
      <c r="R55" s="13">
        <f t="shared" ref="R55:T55" si="80">X54</f>
        <v>22500</v>
      </c>
      <c r="S55" s="13">
        <f t="shared" si="80"/>
        <v>22500</v>
      </c>
      <c r="T55" s="13">
        <f t="shared" si="80"/>
        <v>0</v>
      </c>
      <c r="U55" s="13">
        <f t="shared" si="25"/>
        <v>96112.5</v>
      </c>
      <c r="V55" s="13">
        <f t="shared" si="15"/>
        <v>52875</v>
      </c>
      <c r="W55" s="4">
        <v>0.0</v>
      </c>
      <c r="X55" s="13">
        <f t="shared" ref="X55:Z55" si="81">R55+D55</f>
        <v>22500</v>
      </c>
      <c r="Y55" s="13">
        <f t="shared" si="81"/>
        <v>22500</v>
      </c>
      <c r="Z55" s="13">
        <f t="shared" si="81"/>
        <v>0</v>
      </c>
      <c r="AB55" s="13">
        <f t="shared" si="17"/>
        <v>97875</v>
      </c>
    </row>
    <row r="56">
      <c r="A56" s="13">
        <f t="shared" si="27"/>
        <v>2055</v>
      </c>
      <c r="B56" s="13">
        <f t="shared" si="18"/>
        <v>1200</v>
      </c>
      <c r="C56" s="13">
        <f t="shared" si="19"/>
        <v>562.5</v>
      </c>
      <c r="D56" s="13">
        <f t="shared" si="20"/>
        <v>0</v>
      </c>
      <c r="E56" s="13">
        <f t="shared" si="21"/>
        <v>0</v>
      </c>
      <c r="F56" s="13">
        <f t="shared" si="22"/>
        <v>0</v>
      </c>
      <c r="G56" s="13">
        <f t="shared" si="6"/>
        <v>1762.5</v>
      </c>
      <c r="H56" s="13">
        <f t="shared" si="7"/>
        <v>1762.5</v>
      </c>
      <c r="I56" s="13">
        <f t="shared" si="8"/>
        <v>27862.5</v>
      </c>
      <c r="J56" s="80">
        <f t="shared" si="9"/>
        <v>0</v>
      </c>
      <c r="K56" s="13">
        <f t="shared" si="10"/>
        <v>0</v>
      </c>
      <c r="L56" s="13">
        <f t="shared" si="11"/>
        <v>0</v>
      </c>
      <c r="N56" s="13">
        <f t="shared" si="12"/>
        <v>22500</v>
      </c>
      <c r="O56" s="13">
        <f t="shared" si="13"/>
        <v>50362.5</v>
      </c>
      <c r="P56" s="13">
        <f t="shared" si="23"/>
        <v>52875</v>
      </c>
      <c r="Q56" s="4">
        <v>0.0</v>
      </c>
      <c r="R56" s="13">
        <f t="shared" ref="R56:T56" si="82">X55</f>
        <v>22500</v>
      </c>
      <c r="S56" s="13">
        <f t="shared" si="82"/>
        <v>22500</v>
      </c>
      <c r="T56" s="13">
        <f t="shared" si="82"/>
        <v>0</v>
      </c>
      <c r="U56" s="13">
        <f t="shared" si="25"/>
        <v>97875</v>
      </c>
      <c r="V56" s="13">
        <f t="shared" si="15"/>
        <v>54637.5</v>
      </c>
      <c r="W56" s="4">
        <v>0.0</v>
      </c>
      <c r="X56" s="13">
        <f t="shared" ref="X56:Z56" si="83">R56+D56</f>
        <v>22500</v>
      </c>
      <c r="Y56" s="13">
        <f t="shared" si="83"/>
        <v>22500</v>
      </c>
      <c r="Z56" s="13">
        <f t="shared" si="83"/>
        <v>0</v>
      </c>
      <c r="AB56" s="13">
        <f t="shared" si="17"/>
        <v>99637.5</v>
      </c>
    </row>
    <row r="57">
      <c r="A57" s="13">
        <f t="shared" si="27"/>
        <v>2056</v>
      </c>
      <c r="B57" s="13">
        <f t="shared" si="18"/>
        <v>1200</v>
      </c>
      <c r="C57" s="13">
        <f t="shared" si="19"/>
        <v>562.5</v>
      </c>
      <c r="D57" s="13">
        <f t="shared" si="20"/>
        <v>0</v>
      </c>
      <c r="E57" s="13">
        <f t="shared" si="21"/>
        <v>0</v>
      </c>
      <c r="F57" s="13">
        <f t="shared" si="22"/>
        <v>0</v>
      </c>
      <c r="G57" s="13">
        <f t="shared" si="6"/>
        <v>1762.5</v>
      </c>
      <c r="H57" s="13">
        <f t="shared" si="7"/>
        <v>1762.5</v>
      </c>
      <c r="I57" s="13">
        <f t="shared" si="8"/>
        <v>26100</v>
      </c>
      <c r="J57" s="80">
        <f t="shared" si="9"/>
        <v>0</v>
      </c>
      <c r="K57" s="13">
        <f t="shared" si="10"/>
        <v>0</v>
      </c>
      <c r="L57" s="13">
        <f t="shared" si="11"/>
        <v>0</v>
      </c>
      <c r="N57" s="13">
        <f t="shared" si="12"/>
        <v>22500</v>
      </c>
      <c r="O57" s="13">
        <f t="shared" si="13"/>
        <v>48600</v>
      </c>
      <c r="P57" s="13">
        <f t="shared" si="23"/>
        <v>54637.5</v>
      </c>
      <c r="Q57" s="4">
        <v>0.0</v>
      </c>
      <c r="R57" s="13">
        <f t="shared" ref="R57:T57" si="84">X56</f>
        <v>22500</v>
      </c>
      <c r="S57" s="13">
        <f t="shared" si="84"/>
        <v>22500</v>
      </c>
      <c r="T57" s="13">
        <f t="shared" si="84"/>
        <v>0</v>
      </c>
      <c r="U57" s="13">
        <f t="shared" si="25"/>
        <v>99637.5</v>
      </c>
      <c r="V57" s="13">
        <f t="shared" si="15"/>
        <v>56400</v>
      </c>
      <c r="W57" s="4">
        <v>0.0</v>
      </c>
      <c r="X57" s="13">
        <f t="shared" ref="X57:Z57" si="85">R57+D57</f>
        <v>22500</v>
      </c>
      <c r="Y57" s="13">
        <f t="shared" si="85"/>
        <v>22500</v>
      </c>
      <c r="Z57" s="13">
        <f t="shared" si="85"/>
        <v>0</v>
      </c>
      <c r="AB57" s="13">
        <f t="shared" si="17"/>
        <v>101400</v>
      </c>
    </row>
    <row r="58">
      <c r="A58" s="13">
        <f t="shared" si="27"/>
        <v>2057</v>
      </c>
      <c r="B58" s="13">
        <f t="shared" si="18"/>
        <v>1200</v>
      </c>
      <c r="C58" s="13">
        <f t="shared" si="19"/>
        <v>562.5</v>
      </c>
      <c r="D58" s="13">
        <f t="shared" si="20"/>
        <v>0</v>
      </c>
      <c r="E58" s="13">
        <f t="shared" si="21"/>
        <v>0</v>
      </c>
      <c r="F58" s="13">
        <f t="shared" si="22"/>
        <v>0</v>
      </c>
      <c r="G58" s="13">
        <f t="shared" si="6"/>
        <v>1762.5</v>
      </c>
      <c r="H58" s="13">
        <f t="shared" si="7"/>
        <v>1762.5</v>
      </c>
      <c r="I58" s="13">
        <f t="shared" si="8"/>
        <v>24337.5</v>
      </c>
      <c r="J58" s="80">
        <f t="shared" si="9"/>
        <v>0</v>
      </c>
      <c r="K58" s="13">
        <f t="shared" si="10"/>
        <v>0</v>
      </c>
      <c r="L58" s="13">
        <f t="shared" si="11"/>
        <v>0</v>
      </c>
      <c r="N58" s="13">
        <f t="shared" si="12"/>
        <v>22500</v>
      </c>
      <c r="O58" s="13">
        <f t="shared" si="13"/>
        <v>46837.5</v>
      </c>
      <c r="P58" s="13">
        <f t="shared" si="23"/>
        <v>56400</v>
      </c>
      <c r="Q58" s="4">
        <v>0.0</v>
      </c>
      <c r="R58" s="13">
        <f t="shared" ref="R58:T58" si="86">X57</f>
        <v>22500</v>
      </c>
      <c r="S58" s="13">
        <f t="shared" si="86"/>
        <v>22500</v>
      </c>
      <c r="T58" s="13">
        <f t="shared" si="86"/>
        <v>0</v>
      </c>
      <c r="U58" s="13">
        <f t="shared" si="25"/>
        <v>101400</v>
      </c>
      <c r="V58" s="13">
        <f t="shared" si="15"/>
        <v>58162.5</v>
      </c>
      <c r="W58" s="4">
        <v>0.0</v>
      </c>
      <c r="X58" s="13">
        <f t="shared" ref="X58:Z58" si="87">R58+D58</f>
        <v>22500</v>
      </c>
      <c r="Y58" s="13">
        <f t="shared" si="87"/>
        <v>22500</v>
      </c>
      <c r="Z58" s="13">
        <f t="shared" si="87"/>
        <v>0</v>
      </c>
      <c r="AB58" s="13">
        <f t="shared" si="17"/>
        <v>103162.5</v>
      </c>
    </row>
    <row r="59">
      <c r="A59" s="13">
        <f t="shared" si="27"/>
        <v>2058</v>
      </c>
      <c r="B59" s="13">
        <f t="shared" si="18"/>
        <v>1200</v>
      </c>
      <c r="C59" s="13">
        <f t="shared" si="19"/>
        <v>562.5</v>
      </c>
      <c r="D59" s="13">
        <f t="shared" si="20"/>
        <v>0</v>
      </c>
      <c r="E59" s="13">
        <f t="shared" si="21"/>
        <v>0</v>
      </c>
      <c r="F59" s="13">
        <f t="shared" si="22"/>
        <v>0</v>
      </c>
      <c r="G59" s="13">
        <f t="shared" si="6"/>
        <v>1762.5</v>
      </c>
      <c r="H59" s="13">
        <f t="shared" si="7"/>
        <v>1762.5</v>
      </c>
      <c r="I59" s="13">
        <f t="shared" si="8"/>
        <v>22575</v>
      </c>
      <c r="J59" s="80">
        <f t="shared" si="9"/>
        <v>0</v>
      </c>
      <c r="K59" s="13">
        <f t="shared" si="10"/>
        <v>0</v>
      </c>
      <c r="L59" s="13">
        <f t="shared" si="11"/>
        <v>0</v>
      </c>
      <c r="N59" s="13">
        <f t="shared" si="12"/>
        <v>22500</v>
      </c>
      <c r="O59" s="13">
        <f t="shared" si="13"/>
        <v>45075</v>
      </c>
      <c r="P59" s="13">
        <f t="shared" si="23"/>
        <v>58162.5</v>
      </c>
      <c r="Q59" s="4">
        <v>0.0</v>
      </c>
      <c r="R59" s="13">
        <f t="shared" ref="R59:T59" si="88">X58</f>
        <v>22500</v>
      </c>
      <c r="S59" s="13">
        <f t="shared" si="88"/>
        <v>22500</v>
      </c>
      <c r="T59" s="13">
        <f t="shared" si="88"/>
        <v>0</v>
      </c>
      <c r="U59" s="13">
        <f t="shared" si="25"/>
        <v>103162.5</v>
      </c>
      <c r="V59" s="13">
        <f t="shared" si="15"/>
        <v>59925</v>
      </c>
      <c r="W59" s="4">
        <v>0.0</v>
      </c>
      <c r="X59" s="13">
        <f t="shared" ref="X59:Z59" si="89">R59+D59</f>
        <v>22500</v>
      </c>
      <c r="Y59" s="13">
        <f t="shared" si="89"/>
        <v>22500</v>
      </c>
      <c r="Z59" s="13">
        <f t="shared" si="89"/>
        <v>0</v>
      </c>
      <c r="AB59" s="13">
        <f t="shared" si="17"/>
        <v>104925</v>
      </c>
    </row>
    <row r="60">
      <c r="A60" s="13">
        <f t="shared" si="27"/>
        <v>2059</v>
      </c>
      <c r="B60" s="13">
        <f t="shared" si="18"/>
        <v>1200</v>
      </c>
      <c r="C60" s="13">
        <f t="shared" si="19"/>
        <v>562.5</v>
      </c>
      <c r="D60" s="13">
        <f t="shared" si="20"/>
        <v>0</v>
      </c>
      <c r="E60" s="13">
        <f t="shared" si="21"/>
        <v>0</v>
      </c>
      <c r="F60" s="13">
        <f t="shared" si="22"/>
        <v>0</v>
      </c>
      <c r="G60" s="13">
        <f t="shared" si="6"/>
        <v>1762.5</v>
      </c>
      <c r="H60" s="13">
        <f t="shared" si="7"/>
        <v>1762.5</v>
      </c>
      <c r="I60" s="13">
        <f t="shared" si="8"/>
        <v>20812.5</v>
      </c>
      <c r="J60" s="80">
        <f t="shared" si="9"/>
        <v>0</v>
      </c>
      <c r="K60" s="13">
        <f t="shared" si="10"/>
        <v>0</v>
      </c>
      <c r="L60" s="13">
        <f t="shared" si="11"/>
        <v>0</v>
      </c>
      <c r="N60" s="13">
        <f t="shared" si="12"/>
        <v>22500</v>
      </c>
      <c r="O60" s="13">
        <f t="shared" si="13"/>
        <v>43312.5</v>
      </c>
      <c r="P60" s="13">
        <f t="shared" si="23"/>
        <v>59925</v>
      </c>
      <c r="Q60" s="4">
        <v>0.0</v>
      </c>
      <c r="R60" s="13">
        <f t="shared" ref="R60:T60" si="90">X59</f>
        <v>22500</v>
      </c>
      <c r="S60" s="13">
        <f t="shared" si="90"/>
        <v>22500</v>
      </c>
      <c r="T60" s="13">
        <f t="shared" si="90"/>
        <v>0</v>
      </c>
      <c r="U60" s="13">
        <f t="shared" si="25"/>
        <v>104925</v>
      </c>
      <c r="V60" s="13">
        <f t="shared" si="15"/>
        <v>61687.5</v>
      </c>
      <c r="W60" s="4">
        <v>0.0</v>
      </c>
      <c r="X60" s="13">
        <f t="shared" ref="X60:Z60" si="91">R60+D60</f>
        <v>22500</v>
      </c>
      <c r="Y60" s="13">
        <f t="shared" si="91"/>
        <v>22500</v>
      </c>
      <c r="Z60" s="13">
        <f t="shared" si="91"/>
        <v>0</v>
      </c>
      <c r="AB60" s="13">
        <f t="shared" si="17"/>
        <v>106687.5</v>
      </c>
    </row>
    <row r="61">
      <c r="A61" s="13">
        <f t="shared" si="27"/>
        <v>2060</v>
      </c>
      <c r="B61" s="13">
        <f t="shared" si="18"/>
        <v>1200</v>
      </c>
      <c r="C61" s="13">
        <f t="shared" si="19"/>
        <v>562.5</v>
      </c>
      <c r="D61" s="13">
        <f t="shared" si="20"/>
        <v>0</v>
      </c>
      <c r="E61" s="13">
        <f t="shared" si="21"/>
        <v>0</v>
      </c>
      <c r="F61" s="13">
        <f t="shared" si="22"/>
        <v>0</v>
      </c>
      <c r="G61" s="13">
        <f t="shared" si="6"/>
        <v>1762.5</v>
      </c>
      <c r="H61" s="13">
        <f t="shared" si="7"/>
        <v>1762.5</v>
      </c>
      <c r="I61" s="13">
        <f t="shared" si="8"/>
        <v>19050</v>
      </c>
      <c r="J61" s="80">
        <f t="shared" si="9"/>
        <v>0</v>
      </c>
      <c r="K61" s="13">
        <f t="shared" si="10"/>
        <v>0</v>
      </c>
      <c r="L61" s="13">
        <f t="shared" si="11"/>
        <v>0</v>
      </c>
      <c r="N61" s="13">
        <f t="shared" si="12"/>
        <v>22500</v>
      </c>
      <c r="O61" s="13">
        <f t="shared" si="13"/>
        <v>41550</v>
      </c>
      <c r="P61" s="13">
        <f t="shared" si="23"/>
        <v>61687.5</v>
      </c>
      <c r="Q61" s="4">
        <v>0.0</v>
      </c>
      <c r="R61" s="13">
        <f t="shared" ref="R61:T61" si="92">X60</f>
        <v>22500</v>
      </c>
      <c r="S61" s="13">
        <f t="shared" si="92"/>
        <v>22500</v>
      </c>
      <c r="T61" s="13">
        <f t="shared" si="92"/>
        <v>0</v>
      </c>
      <c r="U61" s="13">
        <f t="shared" si="25"/>
        <v>106687.5</v>
      </c>
      <c r="V61" s="13">
        <f t="shared" si="15"/>
        <v>63450</v>
      </c>
      <c r="W61" s="4">
        <v>0.0</v>
      </c>
      <c r="X61" s="13">
        <f t="shared" ref="X61:Z61" si="93">R61+D61</f>
        <v>22500</v>
      </c>
      <c r="Y61" s="13">
        <f t="shared" si="93"/>
        <v>22500</v>
      </c>
      <c r="Z61" s="13">
        <f t="shared" si="93"/>
        <v>0</v>
      </c>
      <c r="AB61" s="13">
        <f t="shared" si="17"/>
        <v>108450</v>
      </c>
    </row>
    <row r="62">
      <c r="A62" s="13">
        <f t="shared" si="27"/>
        <v>2061</v>
      </c>
      <c r="B62" s="13">
        <f t="shared" si="18"/>
        <v>1200</v>
      </c>
      <c r="C62" s="13">
        <f t="shared" si="19"/>
        <v>562.5</v>
      </c>
      <c r="D62" s="13">
        <f t="shared" si="20"/>
        <v>0</v>
      </c>
      <c r="E62" s="13">
        <f t="shared" si="21"/>
        <v>0</v>
      </c>
      <c r="F62" s="13">
        <f t="shared" si="22"/>
        <v>0</v>
      </c>
      <c r="G62" s="13">
        <f t="shared" si="6"/>
        <v>1762.5</v>
      </c>
      <c r="H62" s="13">
        <f t="shared" si="7"/>
        <v>1762.5</v>
      </c>
      <c r="I62" s="13">
        <f t="shared" si="8"/>
        <v>17287.5</v>
      </c>
      <c r="J62" s="80">
        <f t="shared" si="9"/>
        <v>0</v>
      </c>
      <c r="K62" s="13">
        <f t="shared" si="10"/>
        <v>0</v>
      </c>
      <c r="L62" s="13">
        <f t="shared" si="11"/>
        <v>0</v>
      </c>
      <c r="N62" s="13">
        <f t="shared" si="12"/>
        <v>22500</v>
      </c>
      <c r="O62" s="13">
        <f t="shared" si="13"/>
        <v>39787.5</v>
      </c>
      <c r="P62" s="13">
        <f t="shared" si="23"/>
        <v>63450</v>
      </c>
      <c r="Q62" s="4">
        <v>0.0</v>
      </c>
      <c r="R62" s="13">
        <f t="shared" ref="R62:T62" si="94">X61</f>
        <v>22500</v>
      </c>
      <c r="S62" s="13">
        <f t="shared" si="94"/>
        <v>22500</v>
      </c>
      <c r="T62" s="13">
        <f t="shared" si="94"/>
        <v>0</v>
      </c>
      <c r="U62" s="13">
        <f t="shared" si="25"/>
        <v>108450</v>
      </c>
      <c r="V62" s="13">
        <f t="shared" si="15"/>
        <v>65212.5</v>
      </c>
      <c r="W62" s="4">
        <v>0.0</v>
      </c>
      <c r="X62" s="13">
        <f t="shared" ref="X62:Z62" si="95">R62+D62</f>
        <v>22500</v>
      </c>
      <c r="Y62" s="13">
        <f t="shared" si="95"/>
        <v>22500</v>
      </c>
      <c r="Z62" s="13">
        <f t="shared" si="95"/>
        <v>0</v>
      </c>
      <c r="AB62" s="13">
        <f t="shared" si="17"/>
        <v>110212.5</v>
      </c>
    </row>
    <row r="63">
      <c r="A63" s="13">
        <f t="shared" si="27"/>
        <v>2062</v>
      </c>
      <c r="B63" s="13">
        <f t="shared" si="18"/>
        <v>1200</v>
      </c>
      <c r="C63" s="13">
        <f t="shared" si="19"/>
        <v>562.5</v>
      </c>
      <c r="D63" s="13">
        <f t="shared" si="20"/>
        <v>0</v>
      </c>
      <c r="E63" s="13">
        <f t="shared" si="21"/>
        <v>0</v>
      </c>
      <c r="F63" s="13">
        <f t="shared" si="22"/>
        <v>0</v>
      </c>
      <c r="G63" s="13">
        <f t="shared" si="6"/>
        <v>1762.5</v>
      </c>
      <c r="H63" s="13">
        <f t="shared" si="7"/>
        <v>1762.5</v>
      </c>
      <c r="I63" s="13">
        <f t="shared" si="8"/>
        <v>15525</v>
      </c>
      <c r="J63" s="80">
        <f t="shared" si="9"/>
        <v>0</v>
      </c>
      <c r="K63" s="13">
        <f t="shared" si="10"/>
        <v>0</v>
      </c>
      <c r="L63" s="13">
        <f t="shared" si="11"/>
        <v>0</v>
      </c>
      <c r="N63" s="13">
        <f t="shared" si="12"/>
        <v>22500</v>
      </c>
      <c r="O63" s="13">
        <f t="shared" si="13"/>
        <v>38025</v>
      </c>
      <c r="P63" s="13">
        <f t="shared" si="23"/>
        <v>65212.5</v>
      </c>
      <c r="Q63" s="4">
        <v>0.0</v>
      </c>
      <c r="R63" s="13">
        <f t="shared" ref="R63:T63" si="96">X62</f>
        <v>22500</v>
      </c>
      <c r="S63" s="13">
        <f t="shared" si="96"/>
        <v>22500</v>
      </c>
      <c r="T63" s="13">
        <f t="shared" si="96"/>
        <v>0</v>
      </c>
      <c r="U63" s="13">
        <f t="shared" si="25"/>
        <v>110212.5</v>
      </c>
      <c r="V63" s="13">
        <f t="shared" si="15"/>
        <v>66975</v>
      </c>
      <c r="W63" s="4">
        <v>0.0</v>
      </c>
      <c r="X63" s="13">
        <f t="shared" ref="X63:Z63" si="97">R63+D63</f>
        <v>22500</v>
      </c>
      <c r="Y63" s="13">
        <f t="shared" si="97"/>
        <v>22500</v>
      </c>
      <c r="Z63" s="13">
        <f t="shared" si="97"/>
        <v>0</v>
      </c>
      <c r="AB63" s="13">
        <f t="shared" si="17"/>
        <v>111975</v>
      </c>
    </row>
    <row r="64">
      <c r="A64" s="13">
        <f t="shared" si="27"/>
        <v>2063</v>
      </c>
      <c r="B64" s="13">
        <f t="shared" si="18"/>
        <v>1200</v>
      </c>
      <c r="C64" s="13">
        <f t="shared" si="19"/>
        <v>562.5</v>
      </c>
      <c r="D64" s="13">
        <f t="shared" si="20"/>
        <v>0</v>
      </c>
      <c r="E64" s="13">
        <f t="shared" si="21"/>
        <v>0</v>
      </c>
      <c r="F64" s="13">
        <f t="shared" si="22"/>
        <v>0</v>
      </c>
      <c r="G64" s="13">
        <f t="shared" si="6"/>
        <v>1762.5</v>
      </c>
      <c r="H64" s="13">
        <f t="shared" si="7"/>
        <v>1762.5</v>
      </c>
      <c r="I64" s="13">
        <f t="shared" si="8"/>
        <v>13762.5</v>
      </c>
      <c r="J64" s="80">
        <f t="shared" si="9"/>
        <v>0</v>
      </c>
      <c r="K64" s="13">
        <f t="shared" si="10"/>
        <v>0</v>
      </c>
      <c r="L64" s="13">
        <f t="shared" si="11"/>
        <v>0</v>
      </c>
      <c r="N64" s="13">
        <f t="shared" si="12"/>
        <v>22500</v>
      </c>
      <c r="O64" s="13">
        <f t="shared" si="13"/>
        <v>36262.5</v>
      </c>
      <c r="P64" s="13">
        <f t="shared" si="23"/>
        <v>66975</v>
      </c>
      <c r="Q64" s="4">
        <v>0.0</v>
      </c>
      <c r="R64" s="13">
        <f t="shared" ref="R64:T64" si="98">X63</f>
        <v>22500</v>
      </c>
      <c r="S64" s="13">
        <f t="shared" si="98"/>
        <v>22500</v>
      </c>
      <c r="T64" s="13">
        <f t="shared" si="98"/>
        <v>0</v>
      </c>
      <c r="U64" s="13">
        <f t="shared" si="25"/>
        <v>111975</v>
      </c>
      <c r="V64" s="13">
        <f t="shared" si="15"/>
        <v>68737.5</v>
      </c>
      <c r="W64" s="4">
        <v>0.0</v>
      </c>
      <c r="X64" s="13">
        <f t="shared" ref="X64:Z64" si="99">R64+D64</f>
        <v>22500</v>
      </c>
      <c r="Y64" s="13">
        <f t="shared" si="99"/>
        <v>22500</v>
      </c>
      <c r="Z64" s="13">
        <f t="shared" si="99"/>
        <v>0</v>
      </c>
      <c r="AB64" s="13">
        <f t="shared" si="17"/>
        <v>113737.5</v>
      </c>
    </row>
    <row r="65">
      <c r="A65" s="13">
        <f t="shared" si="27"/>
        <v>2064</v>
      </c>
      <c r="B65" s="13">
        <f t="shared" si="18"/>
        <v>1200</v>
      </c>
      <c r="C65" s="13">
        <f t="shared" si="19"/>
        <v>562.5</v>
      </c>
      <c r="D65" s="13">
        <f t="shared" si="20"/>
        <v>0</v>
      </c>
      <c r="E65" s="13">
        <f t="shared" si="21"/>
        <v>0</v>
      </c>
      <c r="F65" s="13">
        <f t="shared" si="22"/>
        <v>0</v>
      </c>
      <c r="G65" s="13">
        <f t="shared" si="6"/>
        <v>1762.5</v>
      </c>
      <c r="H65" s="13">
        <f t="shared" si="7"/>
        <v>1762.5</v>
      </c>
      <c r="I65" s="13">
        <f t="shared" si="8"/>
        <v>12000</v>
      </c>
      <c r="J65" s="80">
        <f t="shared" si="9"/>
        <v>0</v>
      </c>
      <c r="K65" s="13">
        <f t="shared" si="10"/>
        <v>0</v>
      </c>
      <c r="L65" s="13">
        <f t="shared" si="11"/>
        <v>0</v>
      </c>
      <c r="N65" s="13">
        <f t="shared" si="12"/>
        <v>22500</v>
      </c>
      <c r="O65" s="13">
        <f t="shared" si="13"/>
        <v>34500</v>
      </c>
      <c r="P65" s="13">
        <f t="shared" si="23"/>
        <v>68737.5</v>
      </c>
      <c r="Q65" s="4">
        <v>0.0</v>
      </c>
      <c r="R65" s="13">
        <f t="shared" ref="R65:T65" si="100">X64</f>
        <v>22500</v>
      </c>
      <c r="S65" s="13">
        <f t="shared" si="100"/>
        <v>22500</v>
      </c>
      <c r="T65" s="13">
        <f t="shared" si="100"/>
        <v>0</v>
      </c>
      <c r="U65" s="13">
        <f t="shared" si="25"/>
        <v>113737.5</v>
      </c>
      <c r="V65" s="13">
        <f t="shared" si="15"/>
        <v>70500</v>
      </c>
      <c r="W65" s="4">
        <v>0.0</v>
      </c>
      <c r="X65" s="13">
        <f t="shared" ref="X65:Z65" si="101">R65+D65</f>
        <v>22500</v>
      </c>
      <c r="Y65" s="13">
        <f t="shared" si="101"/>
        <v>22500</v>
      </c>
      <c r="Z65" s="13">
        <f t="shared" si="101"/>
        <v>0</v>
      </c>
      <c r="AB65" s="13">
        <f t="shared" si="17"/>
        <v>115500</v>
      </c>
    </row>
    <row r="66">
      <c r="A66" s="13">
        <f t="shared" si="27"/>
        <v>2065</v>
      </c>
      <c r="B66" s="13">
        <f t="shared" si="18"/>
        <v>1200</v>
      </c>
      <c r="C66" s="13">
        <f t="shared" si="19"/>
        <v>0</v>
      </c>
      <c r="D66" s="13">
        <f t="shared" si="20"/>
        <v>0</v>
      </c>
      <c r="E66" s="13">
        <f t="shared" si="21"/>
        <v>0</v>
      </c>
      <c r="F66" s="13">
        <f t="shared" si="22"/>
        <v>0</v>
      </c>
      <c r="G66" s="13">
        <f t="shared" si="6"/>
        <v>1200</v>
      </c>
      <c r="H66" s="13">
        <f t="shared" si="7"/>
        <v>1200</v>
      </c>
      <c r="I66" s="13">
        <f t="shared" si="8"/>
        <v>10800</v>
      </c>
      <c r="J66" s="80">
        <f t="shared" si="9"/>
        <v>0</v>
      </c>
      <c r="K66" s="13">
        <f t="shared" si="10"/>
        <v>0</v>
      </c>
      <c r="L66" s="13">
        <f t="shared" si="11"/>
        <v>0</v>
      </c>
      <c r="N66" s="13">
        <f t="shared" si="12"/>
        <v>22500</v>
      </c>
      <c r="O66" s="13">
        <f t="shared" si="13"/>
        <v>33300</v>
      </c>
      <c r="P66" s="13">
        <f t="shared" si="23"/>
        <v>70500</v>
      </c>
      <c r="Q66" s="4">
        <v>0.0</v>
      </c>
      <c r="R66" s="13">
        <f t="shared" ref="R66:T66" si="102">X65</f>
        <v>22500</v>
      </c>
      <c r="S66" s="13">
        <f t="shared" si="102"/>
        <v>22500</v>
      </c>
      <c r="T66" s="13">
        <f t="shared" si="102"/>
        <v>0</v>
      </c>
      <c r="U66" s="13">
        <f t="shared" si="25"/>
        <v>115500</v>
      </c>
      <c r="V66" s="13">
        <f t="shared" si="15"/>
        <v>71700</v>
      </c>
      <c r="W66" s="4">
        <v>0.0</v>
      </c>
      <c r="X66" s="13">
        <f t="shared" ref="X66:Z66" si="103">R66+D66</f>
        <v>22500</v>
      </c>
      <c r="Y66" s="13">
        <f t="shared" si="103"/>
        <v>22500</v>
      </c>
      <c r="Z66" s="13">
        <f t="shared" si="103"/>
        <v>0</v>
      </c>
      <c r="AB66" s="13">
        <f t="shared" si="17"/>
        <v>116700</v>
      </c>
    </row>
    <row r="67">
      <c r="A67" s="13">
        <f t="shared" si="27"/>
        <v>2066</v>
      </c>
      <c r="B67" s="13">
        <f t="shared" si="18"/>
        <v>1200</v>
      </c>
      <c r="C67" s="13">
        <f t="shared" si="19"/>
        <v>0</v>
      </c>
      <c r="D67" s="13">
        <f t="shared" si="20"/>
        <v>0</v>
      </c>
      <c r="E67" s="13">
        <f t="shared" si="21"/>
        <v>0</v>
      </c>
      <c r="F67" s="13">
        <f t="shared" si="22"/>
        <v>0</v>
      </c>
      <c r="G67" s="13">
        <f t="shared" si="6"/>
        <v>1200</v>
      </c>
      <c r="H67" s="13">
        <f t="shared" si="7"/>
        <v>1200</v>
      </c>
      <c r="I67" s="13">
        <f t="shared" si="8"/>
        <v>9600</v>
      </c>
      <c r="J67" s="80">
        <f t="shared" si="9"/>
        <v>0</v>
      </c>
      <c r="K67" s="13">
        <f t="shared" si="10"/>
        <v>0</v>
      </c>
      <c r="L67" s="13">
        <f t="shared" si="11"/>
        <v>0</v>
      </c>
      <c r="N67" s="13">
        <f t="shared" si="12"/>
        <v>22500</v>
      </c>
      <c r="O67" s="13">
        <f t="shared" si="13"/>
        <v>32100</v>
      </c>
      <c r="P67" s="13">
        <f t="shared" si="23"/>
        <v>71700</v>
      </c>
      <c r="Q67" s="4">
        <v>0.0</v>
      </c>
      <c r="R67" s="13">
        <f t="shared" ref="R67:T67" si="104">X66</f>
        <v>22500</v>
      </c>
      <c r="S67" s="13">
        <f t="shared" si="104"/>
        <v>22500</v>
      </c>
      <c r="T67" s="13">
        <f t="shared" si="104"/>
        <v>0</v>
      </c>
      <c r="U67" s="13">
        <f t="shared" si="25"/>
        <v>116700</v>
      </c>
      <c r="V67" s="13">
        <f t="shared" si="15"/>
        <v>72900</v>
      </c>
      <c r="W67" s="4">
        <v>0.0</v>
      </c>
      <c r="X67" s="13">
        <f t="shared" ref="X67:Z67" si="105">R67+D67</f>
        <v>22500</v>
      </c>
      <c r="Y67" s="13">
        <f t="shared" si="105"/>
        <v>22500</v>
      </c>
      <c r="Z67" s="13">
        <f t="shared" si="105"/>
        <v>0</v>
      </c>
      <c r="AB67" s="13">
        <f t="shared" si="17"/>
        <v>117900</v>
      </c>
    </row>
    <row r="68">
      <c r="A68" s="13">
        <f t="shared" si="27"/>
        <v>2067</v>
      </c>
      <c r="B68" s="13">
        <f t="shared" si="18"/>
        <v>1200</v>
      </c>
      <c r="C68" s="13">
        <f t="shared" si="19"/>
        <v>0</v>
      </c>
      <c r="D68" s="13">
        <f t="shared" si="20"/>
        <v>0</v>
      </c>
      <c r="E68" s="13">
        <f t="shared" si="21"/>
        <v>0</v>
      </c>
      <c r="F68" s="13">
        <f t="shared" si="22"/>
        <v>0</v>
      </c>
      <c r="G68" s="13">
        <f t="shared" si="6"/>
        <v>1200</v>
      </c>
      <c r="H68" s="13">
        <f t="shared" si="7"/>
        <v>1200</v>
      </c>
      <c r="I68" s="13">
        <f t="shared" si="8"/>
        <v>8400</v>
      </c>
      <c r="J68" s="80">
        <f t="shared" si="9"/>
        <v>0</v>
      </c>
      <c r="K68" s="13">
        <f t="shared" si="10"/>
        <v>0</v>
      </c>
      <c r="L68" s="13">
        <f t="shared" si="11"/>
        <v>0</v>
      </c>
      <c r="N68" s="13">
        <f t="shared" si="12"/>
        <v>22500</v>
      </c>
      <c r="O68" s="13">
        <f t="shared" si="13"/>
        <v>30900</v>
      </c>
      <c r="P68" s="13">
        <f t="shared" si="23"/>
        <v>72900</v>
      </c>
      <c r="Q68" s="4">
        <v>0.0</v>
      </c>
      <c r="R68" s="13">
        <f t="shared" ref="R68:T68" si="106">X67</f>
        <v>22500</v>
      </c>
      <c r="S68" s="13">
        <f t="shared" si="106"/>
        <v>22500</v>
      </c>
      <c r="T68" s="13">
        <f t="shared" si="106"/>
        <v>0</v>
      </c>
      <c r="U68" s="13">
        <f t="shared" si="25"/>
        <v>117900</v>
      </c>
      <c r="V68" s="13">
        <f t="shared" si="15"/>
        <v>74100</v>
      </c>
      <c r="W68" s="4">
        <v>0.0</v>
      </c>
      <c r="X68" s="13">
        <f t="shared" ref="X68:Z68" si="107">R68+D68</f>
        <v>22500</v>
      </c>
      <c r="Y68" s="13">
        <f t="shared" si="107"/>
        <v>22500</v>
      </c>
      <c r="Z68" s="13">
        <f t="shared" si="107"/>
        <v>0</v>
      </c>
      <c r="AB68" s="13">
        <f t="shared" si="17"/>
        <v>119100</v>
      </c>
    </row>
    <row r="69">
      <c r="A69" s="13">
        <f t="shared" si="27"/>
        <v>2068</v>
      </c>
      <c r="B69" s="13">
        <f t="shared" si="18"/>
        <v>1200</v>
      </c>
      <c r="C69" s="13">
        <f t="shared" si="19"/>
        <v>0</v>
      </c>
      <c r="D69" s="13">
        <f t="shared" si="20"/>
        <v>0</v>
      </c>
      <c r="E69" s="13">
        <f t="shared" si="21"/>
        <v>0</v>
      </c>
      <c r="F69" s="13">
        <f t="shared" si="22"/>
        <v>0</v>
      </c>
      <c r="G69" s="13">
        <f t="shared" si="6"/>
        <v>1200</v>
      </c>
      <c r="H69" s="13">
        <f t="shared" si="7"/>
        <v>1200</v>
      </c>
      <c r="I69" s="13">
        <f t="shared" si="8"/>
        <v>7200</v>
      </c>
      <c r="J69" s="80">
        <f t="shared" si="9"/>
        <v>0</v>
      </c>
      <c r="K69" s="13">
        <f t="shared" si="10"/>
        <v>0</v>
      </c>
      <c r="L69" s="13">
        <f t="shared" si="11"/>
        <v>0</v>
      </c>
      <c r="N69" s="13">
        <f t="shared" si="12"/>
        <v>22500</v>
      </c>
      <c r="O69" s="13">
        <f t="shared" si="13"/>
        <v>29700</v>
      </c>
      <c r="P69" s="13">
        <f t="shared" si="23"/>
        <v>74100</v>
      </c>
      <c r="Q69" s="4">
        <v>0.0</v>
      </c>
      <c r="R69" s="13">
        <f t="shared" ref="R69:T69" si="108">X68</f>
        <v>22500</v>
      </c>
      <c r="S69" s="13">
        <f t="shared" si="108"/>
        <v>22500</v>
      </c>
      <c r="T69" s="13">
        <f t="shared" si="108"/>
        <v>0</v>
      </c>
      <c r="U69" s="13">
        <f t="shared" si="25"/>
        <v>119100</v>
      </c>
      <c r="V69" s="13">
        <f t="shared" si="15"/>
        <v>75300</v>
      </c>
      <c r="W69" s="4">
        <v>0.0</v>
      </c>
      <c r="X69" s="13">
        <f t="shared" ref="X69:Z69" si="109">R69+D69</f>
        <v>22500</v>
      </c>
      <c r="Y69" s="13">
        <f t="shared" si="109"/>
        <v>22500</v>
      </c>
      <c r="Z69" s="13">
        <f t="shared" si="109"/>
        <v>0</v>
      </c>
      <c r="AB69" s="13">
        <f t="shared" si="17"/>
        <v>120300</v>
      </c>
    </row>
    <row r="70">
      <c r="A70" s="13">
        <f t="shared" si="27"/>
        <v>2069</v>
      </c>
      <c r="B70" s="13">
        <f t="shared" si="18"/>
        <v>1200</v>
      </c>
      <c r="C70" s="13">
        <f t="shared" si="19"/>
        <v>0</v>
      </c>
      <c r="D70" s="13">
        <f t="shared" si="20"/>
        <v>0</v>
      </c>
      <c r="E70" s="13">
        <f t="shared" si="21"/>
        <v>0</v>
      </c>
      <c r="F70" s="13">
        <f t="shared" si="22"/>
        <v>0</v>
      </c>
      <c r="G70" s="13">
        <f t="shared" si="6"/>
        <v>1200</v>
      </c>
      <c r="H70" s="13">
        <f t="shared" si="7"/>
        <v>1200</v>
      </c>
      <c r="I70" s="13">
        <f t="shared" si="8"/>
        <v>6000</v>
      </c>
      <c r="J70" s="80">
        <f t="shared" si="9"/>
        <v>0</v>
      </c>
      <c r="K70" s="13">
        <f t="shared" si="10"/>
        <v>0</v>
      </c>
      <c r="L70" s="13">
        <f t="shared" si="11"/>
        <v>0</v>
      </c>
      <c r="N70" s="13">
        <f t="shared" si="12"/>
        <v>22500</v>
      </c>
      <c r="O70" s="13">
        <f t="shared" si="13"/>
        <v>28500</v>
      </c>
      <c r="P70" s="13">
        <f t="shared" si="23"/>
        <v>75300</v>
      </c>
      <c r="Q70" s="4">
        <v>0.0</v>
      </c>
      <c r="R70" s="13">
        <f t="shared" ref="R70:T70" si="110">X69</f>
        <v>22500</v>
      </c>
      <c r="S70" s="13">
        <f t="shared" si="110"/>
        <v>22500</v>
      </c>
      <c r="T70" s="13">
        <f t="shared" si="110"/>
        <v>0</v>
      </c>
      <c r="U70" s="13">
        <f t="shared" si="25"/>
        <v>120300</v>
      </c>
      <c r="V70" s="13">
        <f t="shared" si="15"/>
        <v>76500</v>
      </c>
      <c r="W70" s="4">
        <v>0.0</v>
      </c>
      <c r="X70" s="13">
        <f t="shared" ref="X70:Z70" si="111">R70+D70</f>
        <v>22500</v>
      </c>
      <c r="Y70" s="13">
        <f t="shared" si="111"/>
        <v>22500</v>
      </c>
      <c r="Z70" s="13">
        <f t="shared" si="111"/>
        <v>0</v>
      </c>
      <c r="AB70" s="13">
        <f t="shared" si="17"/>
        <v>121500</v>
      </c>
    </row>
    <row r="71">
      <c r="A71" s="13">
        <f t="shared" si="27"/>
        <v>2070</v>
      </c>
      <c r="B71" s="13">
        <f t="shared" si="18"/>
        <v>1200</v>
      </c>
      <c r="C71" s="13">
        <f t="shared" si="19"/>
        <v>0</v>
      </c>
      <c r="D71" s="13">
        <f t="shared" si="20"/>
        <v>0</v>
      </c>
      <c r="E71" s="13">
        <f t="shared" si="21"/>
        <v>0</v>
      </c>
      <c r="F71" s="13">
        <f t="shared" si="22"/>
        <v>0</v>
      </c>
      <c r="G71" s="13">
        <f t="shared" si="6"/>
        <v>1200</v>
      </c>
      <c r="H71" s="13">
        <f t="shared" si="7"/>
        <v>1200</v>
      </c>
      <c r="I71" s="13">
        <f t="shared" si="8"/>
        <v>4800</v>
      </c>
      <c r="J71" s="80">
        <f t="shared" si="9"/>
        <v>0</v>
      </c>
      <c r="K71" s="13">
        <f t="shared" si="10"/>
        <v>0</v>
      </c>
      <c r="L71" s="13">
        <f t="shared" si="11"/>
        <v>0</v>
      </c>
      <c r="N71" s="13">
        <f t="shared" si="12"/>
        <v>22500</v>
      </c>
      <c r="O71" s="13">
        <f t="shared" si="13"/>
        <v>27300</v>
      </c>
      <c r="P71" s="13">
        <f t="shared" si="23"/>
        <v>76500</v>
      </c>
      <c r="Q71" s="4">
        <v>0.0</v>
      </c>
      <c r="R71" s="13">
        <f t="shared" ref="R71:T71" si="112">X70</f>
        <v>22500</v>
      </c>
      <c r="S71" s="13">
        <f t="shared" si="112"/>
        <v>22500</v>
      </c>
      <c r="T71" s="13">
        <f t="shared" si="112"/>
        <v>0</v>
      </c>
      <c r="U71" s="13">
        <f t="shared" si="25"/>
        <v>121500</v>
      </c>
      <c r="V71" s="13">
        <f t="shared" si="15"/>
        <v>77700</v>
      </c>
      <c r="W71" s="4">
        <v>0.0</v>
      </c>
      <c r="X71" s="13">
        <f t="shared" ref="X71:Z71" si="113">R71+D71</f>
        <v>22500</v>
      </c>
      <c r="Y71" s="13">
        <f t="shared" si="113"/>
        <v>22500</v>
      </c>
      <c r="Z71" s="13">
        <f t="shared" si="113"/>
        <v>0</v>
      </c>
      <c r="AB71" s="13">
        <f t="shared" si="17"/>
        <v>122700</v>
      </c>
    </row>
    <row r="72">
      <c r="A72" s="13">
        <f t="shared" si="27"/>
        <v>2071</v>
      </c>
      <c r="B72" s="13">
        <f t="shared" si="18"/>
        <v>1200</v>
      </c>
      <c r="C72" s="13">
        <f t="shared" si="19"/>
        <v>0</v>
      </c>
      <c r="D72" s="13">
        <f t="shared" si="20"/>
        <v>0</v>
      </c>
      <c r="E72" s="13">
        <f t="shared" si="21"/>
        <v>0</v>
      </c>
      <c r="F72" s="13">
        <f t="shared" si="22"/>
        <v>0</v>
      </c>
      <c r="G72" s="13">
        <f t="shared" si="6"/>
        <v>1200</v>
      </c>
      <c r="H72" s="13">
        <f t="shared" si="7"/>
        <v>1200</v>
      </c>
      <c r="I72" s="13">
        <f t="shared" si="8"/>
        <v>3600</v>
      </c>
      <c r="J72" s="80">
        <f t="shared" si="9"/>
        <v>0</v>
      </c>
      <c r="K72" s="13">
        <f t="shared" si="10"/>
        <v>0</v>
      </c>
      <c r="L72" s="13">
        <f t="shared" si="11"/>
        <v>0</v>
      </c>
      <c r="N72" s="13">
        <f t="shared" si="12"/>
        <v>22500</v>
      </c>
      <c r="O72" s="13">
        <f t="shared" si="13"/>
        <v>26100</v>
      </c>
      <c r="P72" s="13">
        <f t="shared" si="23"/>
        <v>77700</v>
      </c>
      <c r="Q72" s="4">
        <v>0.0</v>
      </c>
      <c r="R72" s="13">
        <f t="shared" ref="R72:T72" si="114">X71</f>
        <v>22500</v>
      </c>
      <c r="S72" s="13">
        <f t="shared" si="114"/>
        <v>22500</v>
      </c>
      <c r="T72" s="13">
        <f t="shared" si="114"/>
        <v>0</v>
      </c>
      <c r="U72" s="13">
        <f t="shared" si="25"/>
        <v>122700</v>
      </c>
      <c r="V72" s="13">
        <f t="shared" si="15"/>
        <v>78900</v>
      </c>
      <c r="W72" s="4">
        <v>0.0</v>
      </c>
      <c r="X72" s="13">
        <f t="shared" ref="X72:Z72" si="115">R72+D72</f>
        <v>22500</v>
      </c>
      <c r="Y72" s="13">
        <f t="shared" si="115"/>
        <v>22500</v>
      </c>
      <c r="Z72" s="13">
        <f t="shared" si="115"/>
        <v>0</v>
      </c>
      <c r="AB72" s="13">
        <f t="shared" si="17"/>
        <v>123900</v>
      </c>
    </row>
    <row r="73">
      <c r="A73" s="13">
        <f t="shared" si="27"/>
        <v>2072</v>
      </c>
      <c r="B73" s="13">
        <f t="shared" si="18"/>
        <v>1200</v>
      </c>
      <c r="C73" s="13">
        <f t="shared" si="19"/>
        <v>0</v>
      </c>
      <c r="D73" s="13">
        <f t="shared" si="20"/>
        <v>0</v>
      </c>
      <c r="E73" s="13">
        <f t="shared" si="21"/>
        <v>0</v>
      </c>
      <c r="F73" s="13">
        <f t="shared" si="22"/>
        <v>0</v>
      </c>
      <c r="G73" s="13">
        <f t="shared" si="6"/>
        <v>1200</v>
      </c>
      <c r="H73" s="13">
        <f t="shared" si="7"/>
        <v>1200</v>
      </c>
      <c r="I73" s="13">
        <f t="shared" si="8"/>
        <v>2400</v>
      </c>
      <c r="J73" s="80">
        <f t="shared" si="9"/>
        <v>0</v>
      </c>
      <c r="K73" s="13">
        <f t="shared" si="10"/>
        <v>0</v>
      </c>
      <c r="L73" s="13">
        <f t="shared" si="11"/>
        <v>0</v>
      </c>
      <c r="N73" s="13">
        <f t="shared" si="12"/>
        <v>22500</v>
      </c>
      <c r="O73" s="13">
        <f t="shared" si="13"/>
        <v>24900</v>
      </c>
      <c r="P73" s="13">
        <f t="shared" si="23"/>
        <v>78900</v>
      </c>
      <c r="Q73" s="4">
        <v>0.0</v>
      </c>
      <c r="R73" s="13">
        <f t="shared" ref="R73:T73" si="116">X72</f>
        <v>22500</v>
      </c>
      <c r="S73" s="13">
        <f t="shared" si="116"/>
        <v>22500</v>
      </c>
      <c r="T73" s="13">
        <f t="shared" si="116"/>
        <v>0</v>
      </c>
      <c r="U73" s="13">
        <f t="shared" si="25"/>
        <v>123900</v>
      </c>
      <c r="V73" s="13">
        <f t="shared" si="15"/>
        <v>80100</v>
      </c>
      <c r="W73" s="4">
        <v>0.0</v>
      </c>
      <c r="X73" s="13">
        <f t="shared" ref="X73:Z73" si="117">R73+D73</f>
        <v>22500</v>
      </c>
      <c r="Y73" s="13">
        <f t="shared" si="117"/>
        <v>22500</v>
      </c>
      <c r="Z73" s="13">
        <f t="shared" si="117"/>
        <v>0</v>
      </c>
      <c r="AB73" s="13">
        <f t="shared" si="17"/>
        <v>125100</v>
      </c>
    </row>
    <row r="74">
      <c r="A74" s="13">
        <f t="shared" si="27"/>
        <v>2073</v>
      </c>
      <c r="B74" s="13">
        <f t="shared" si="18"/>
        <v>1200</v>
      </c>
      <c r="C74" s="13">
        <f t="shared" si="19"/>
        <v>0</v>
      </c>
      <c r="D74" s="13">
        <f t="shared" si="20"/>
        <v>0</v>
      </c>
      <c r="E74" s="13">
        <f t="shared" si="21"/>
        <v>0</v>
      </c>
      <c r="F74" s="13">
        <f t="shared" si="22"/>
        <v>0</v>
      </c>
      <c r="G74" s="13">
        <f t="shared" si="6"/>
        <v>1200</v>
      </c>
      <c r="H74" s="13">
        <f t="shared" si="7"/>
        <v>1200</v>
      </c>
      <c r="I74" s="13">
        <f t="shared" si="8"/>
        <v>1200</v>
      </c>
      <c r="J74" s="80">
        <f t="shared" si="9"/>
        <v>0</v>
      </c>
      <c r="K74" s="13">
        <f t="shared" si="10"/>
        <v>0</v>
      </c>
      <c r="L74" s="13">
        <f t="shared" si="11"/>
        <v>0</v>
      </c>
      <c r="N74" s="13">
        <f t="shared" si="12"/>
        <v>22500</v>
      </c>
      <c r="O74" s="13">
        <f t="shared" si="13"/>
        <v>23700</v>
      </c>
      <c r="P74" s="13">
        <f t="shared" si="23"/>
        <v>80100</v>
      </c>
      <c r="Q74" s="4">
        <v>0.0</v>
      </c>
      <c r="R74" s="13">
        <f t="shared" ref="R74:T74" si="118">X73</f>
        <v>22500</v>
      </c>
      <c r="S74" s="13">
        <f t="shared" si="118"/>
        <v>22500</v>
      </c>
      <c r="T74" s="13">
        <f t="shared" si="118"/>
        <v>0</v>
      </c>
      <c r="U74" s="13">
        <f t="shared" si="25"/>
        <v>125100</v>
      </c>
      <c r="V74" s="13">
        <f t="shared" si="15"/>
        <v>81300</v>
      </c>
      <c r="W74" s="4">
        <v>0.0</v>
      </c>
      <c r="X74" s="13">
        <f t="shared" ref="X74:Z74" si="119">R74+D74</f>
        <v>22500</v>
      </c>
      <c r="Y74" s="13">
        <f t="shared" si="119"/>
        <v>22500</v>
      </c>
      <c r="Z74" s="13">
        <f t="shared" si="119"/>
        <v>0</v>
      </c>
      <c r="AB74" s="13">
        <f t="shared" si="17"/>
        <v>126300</v>
      </c>
    </row>
    <row r="75">
      <c r="A75" s="13">
        <f t="shared" si="27"/>
        <v>2074</v>
      </c>
      <c r="B75" s="13">
        <f t="shared" si="18"/>
        <v>1200</v>
      </c>
      <c r="C75" s="13">
        <f t="shared" si="19"/>
        <v>0</v>
      </c>
      <c r="D75" s="13">
        <f t="shared" si="20"/>
        <v>0</v>
      </c>
      <c r="E75" s="13">
        <f t="shared" si="21"/>
        <v>0</v>
      </c>
      <c r="F75" s="13">
        <f t="shared" si="22"/>
        <v>0</v>
      </c>
      <c r="G75" s="13">
        <f t="shared" si="6"/>
        <v>1200</v>
      </c>
      <c r="H75" s="13">
        <f t="shared" si="7"/>
        <v>1200</v>
      </c>
      <c r="I75" s="13">
        <f t="shared" si="8"/>
        <v>0</v>
      </c>
      <c r="J75" s="80">
        <f t="shared" si="9"/>
        <v>0</v>
      </c>
      <c r="K75" s="13">
        <f t="shared" si="10"/>
        <v>0</v>
      </c>
      <c r="L75" s="13">
        <f t="shared" si="11"/>
        <v>0</v>
      </c>
      <c r="N75" s="13">
        <f t="shared" si="12"/>
        <v>22500</v>
      </c>
      <c r="O75" s="13">
        <f t="shared" si="13"/>
        <v>22500</v>
      </c>
      <c r="P75" s="13">
        <f t="shared" si="23"/>
        <v>81300</v>
      </c>
      <c r="Q75" s="4">
        <v>0.0</v>
      </c>
      <c r="R75" s="13">
        <f t="shared" ref="R75:T75" si="120">X74</f>
        <v>22500</v>
      </c>
      <c r="S75" s="13">
        <f t="shared" si="120"/>
        <v>22500</v>
      </c>
      <c r="T75" s="13">
        <f t="shared" si="120"/>
        <v>0</v>
      </c>
      <c r="U75" s="13">
        <f t="shared" si="25"/>
        <v>126300</v>
      </c>
      <c r="V75" s="13">
        <f t="shared" si="15"/>
        <v>82500</v>
      </c>
      <c r="W75" s="4">
        <v>0.0</v>
      </c>
      <c r="X75" s="13">
        <f t="shared" ref="X75:Z75" si="121">R75+D75</f>
        <v>22500</v>
      </c>
      <c r="Y75" s="13">
        <f t="shared" si="121"/>
        <v>22500</v>
      </c>
      <c r="Z75" s="13">
        <f t="shared" si="121"/>
        <v>0</v>
      </c>
      <c r="AB75" s="13">
        <f t="shared" si="17"/>
        <v>127500</v>
      </c>
    </row>
    <row r="76">
      <c r="A76" s="13">
        <f t="shared" si="27"/>
        <v>2075</v>
      </c>
      <c r="B76" s="13">
        <f t="shared" si="18"/>
        <v>0</v>
      </c>
      <c r="C76" s="13">
        <f t="shared" si="19"/>
        <v>0</v>
      </c>
      <c r="D76" s="13">
        <f t="shared" si="20"/>
        <v>0</v>
      </c>
      <c r="E76" s="13">
        <f t="shared" si="21"/>
        <v>0</v>
      </c>
      <c r="F76" s="13">
        <f t="shared" si="22"/>
        <v>0</v>
      </c>
      <c r="G76" s="13">
        <f t="shared" si="6"/>
        <v>0</v>
      </c>
      <c r="H76" s="13">
        <f t="shared" si="7"/>
        <v>0</v>
      </c>
      <c r="I76" s="13">
        <f t="shared" si="8"/>
        <v>0</v>
      </c>
      <c r="J76" s="80">
        <f t="shared" si="9"/>
        <v>0</v>
      </c>
      <c r="K76" s="13">
        <f t="shared" si="10"/>
        <v>0</v>
      </c>
      <c r="L76" s="13">
        <f t="shared" si="11"/>
        <v>0</v>
      </c>
      <c r="N76" s="13">
        <f t="shared" si="12"/>
        <v>22500</v>
      </c>
      <c r="O76" s="13">
        <f t="shared" si="13"/>
        <v>22500</v>
      </c>
      <c r="P76" s="13">
        <f t="shared" si="23"/>
        <v>82500</v>
      </c>
      <c r="Q76" s="4">
        <v>0.0</v>
      </c>
      <c r="R76" s="13">
        <f t="shared" ref="R76:T76" si="122">X75</f>
        <v>22500</v>
      </c>
      <c r="S76" s="13">
        <f t="shared" si="122"/>
        <v>22500</v>
      </c>
      <c r="T76" s="13">
        <f t="shared" si="122"/>
        <v>0</v>
      </c>
      <c r="U76" s="13">
        <f t="shared" si="25"/>
        <v>127500</v>
      </c>
      <c r="V76" s="13">
        <f t="shared" si="15"/>
        <v>82500</v>
      </c>
      <c r="W76" s="4">
        <v>0.0</v>
      </c>
      <c r="X76" s="13">
        <f t="shared" ref="X76:Z76" si="123">R76+D76</f>
        <v>22500</v>
      </c>
      <c r="Y76" s="13">
        <f t="shared" si="123"/>
        <v>22500</v>
      </c>
      <c r="Z76" s="13">
        <f t="shared" si="123"/>
        <v>0</v>
      </c>
      <c r="AB76" s="13">
        <f t="shared" si="17"/>
        <v>127500</v>
      </c>
    </row>
    <row r="80">
      <c r="A80" s="7" t="s">
        <v>237</v>
      </c>
    </row>
    <row r="82">
      <c r="A82" s="8" t="s">
        <v>4</v>
      </c>
      <c r="B82" s="9">
        <f>F13</f>
        <v>2025</v>
      </c>
      <c r="D82" s="8" t="s">
        <v>4</v>
      </c>
      <c r="E82" s="9">
        <f>F13+1</f>
        <v>2026</v>
      </c>
    </row>
    <row r="83">
      <c r="A83" s="8" t="s">
        <v>5</v>
      </c>
      <c r="B83" s="9">
        <f t="array" ref="B83">INDIRECT(ADDRESS(H13,7))</f>
        <v>4162.5</v>
      </c>
      <c r="D83" s="8" t="s">
        <v>5</v>
      </c>
      <c r="E83" s="9">
        <f t="array" ref="E83">INDIRECT(ADDRESS(H13+1,7))</f>
        <v>4162.5</v>
      </c>
    </row>
    <row r="84">
      <c r="A84" s="8" t="s">
        <v>6</v>
      </c>
      <c r="B84" s="10">
        <v>8000.0</v>
      </c>
      <c r="D84" s="8" t="s">
        <v>6</v>
      </c>
      <c r="E84" s="11">
        <f>8000</f>
        <v>8000</v>
      </c>
    </row>
    <row r="85">
      <c r="A85" s="8" t="s">
        <v>7</v>
      </c>
      <c r="B85" s="10">
        <f>1200+9000</f>
        <v>10200</v>
      </c>
      <c r="D85" s="8" t="s">
        <v>7</v>
      </c>
      <c r="E85" s="11">
        <f>1200</f>
        <v>1200</v>
      </c>
    </row>
    <row r="86">
      <c r="A86" s="8" t="s">
        <v>8</v>
      </c>
      <c r="B86" s="10">
        <v>0.0</v>
      </c>
      <c r="D86" s="8" t="s">
        <v>8</v>
      </c>
      <c r="E86" s="10">
        <v>0.0</v>
      </c>
      <c r="F86" s="4"/>
    </row>
    <row r="87">
      <c r="A87" s="8" t="s">
        <v>9</v>
      </c>
      <c r="B87" s="11">
        <f>3000</f>
        <v>3000</v>
      </c>
      <c r="D87" s="8" t="s">
        <v>9</v>
      </c>
      <c r="E87" s="10">
        <v>3000.0</v>
      </c>
    </row>
    <row r="88">
      <c r="A88" s="8" t="s">
        <v>238</v>
      </c>
      <c r="B88" s="9">
        <f>B84-B85-B86-B87</f>
        <v>-5200</v>
      </c>
      <c r="D88" s="8" t="s">
        <v>239</v>
      </c>
      <c r="E88" s="9">
        <f>E84-E85-E86-E87</f>
        <v>3800</v>
      </c>
    </row>
    <row r="89">
      <c r="A89" s="8" t="s">
        <v>12</v>
      </c>
      <c r="B89" s="9">
        <f>IF(B88&lt;0,-B88,0)</f>
        <v>5200</v>
      </c>
      <c r="D89" s="8" t="s">
        <v>12</v>
      </c>
      <c r="E89" s="9">
        <f>IF(E88&lt;0,-E88,0)</f>
        <v>0</v>
      </c>
    </row>
    <row r="90">
      <c r="A90" s="8" t="s">
        <v>240</v>
      </c>
      <c r="B90" s="12">
        <f>B88-B83</f>
        <v>-9362.5</v>
      </c>
      <c r="D90" s="8" t="s">
        <v>241</v>
      </c>
      <c r="E90" s="12">
        <f>E88-E83</f>
        <v>-362.5</v>
      </c>
    </row>
    <row r="91">
      <c r="A91" s="8" t="s">
        <v>15</v>
      </c>
      <c r="B91" s="9">
        <f>MIN(B83 , MAX(0 , B83 - B88))</f>
        <v>4162.5</v>
      </c>
      <c r="C91" s="13">
        <f>max(0-B90-B89)</f>
        <v>4162.5</v>
      </c>
      <c r="D91" s="8" t="s">
        <v>16</v>
      </c>
      <c r="E91" s="9">
        <f>MIN(E83 , MAX(0 , E83 - E88))</f>
        <v>362.5</v>
      </c>
    </row>
    <row r="92">
      <c r="A92" s="8" t="s">
        <v>17</v>
      </c>
      <c r="B92" s="8">
        <f>B91+B90</f>
        <v>-5200</v>
      </c>
      <c r="D92" s="8" t="s">
        <v>17</v>
      </c>
      <c r="E92" s="8">
        <f>E91+E90</f>
        <v>0</v>
      </c>
    </row>
    <row r="93">
      <c r="A93" s="8" t="s">
        <v>242</v>
      </c>
      <c r="B93" s="10">
        <v>0.0</v>
      </c>
      <c r="D93" s="8" t="s">
        <v>243</v>
      </c>
      <c r="E93" s="10">
        <f>B96</f>
        <v>4162.5</v>
      </c>
      <c r="F93" s="4"/>
    </row>
    <row r="94">
      <c r="A94" s="8" t="s">
        <v>244</v>
      </c>
      <c r="B94" s="9">
        <f>IF(B90&lt;=0,0,MIN(B90,B93))</f>
        <v>0</v>
      </c>
      <c r="D94" s="8" t="s">
        <v>245</v>
      </c>
      <c r="E94" s="9">
        <f>IF(E90&lt;=0,0,MIN(E90,E93))</f>
        <v>0</v>
      </c>
    </row>
    <row r="95">
      <c r="A95" s="8" t="s">
        <v>246</v>
      </c>
      <c r="B95" s="9">
        <f>B93-B94</f>
        <v>0</v>
      </c>
      <c r="D95" s="8" t="s">
        <v>247</v>
      </c>
      <c r="E95" s="9">
        <f>E93-E94</f>
        <v>4162.5</v>
      </c>
    </row>
    <row r="96">
      <c r="A96" s="8" t="s">
        <v>248</v>
      </c>
      <c r="B96" s="9">
        <f>B95+B91</f>
        <v>4162.5</v>
      </c>
      <c r="D96" s="8" t="s">
        <v>249</v>
      </c>
      <c r="E96" s="9">
        <f>E95+E91</f>
        <v>4525</v>
      </c>
    </row>
    <row r="97">
      <c r="A97" s="14" t="s">
        <v>26</v>
      </c>
      <c r="B97" s="9">
        <f>B92-B94</f>
        <v>-5200</v>
      </c>
      <c r="D97" s="14" t="s">
        <v>26</v>
      </c>
      <c r="E97" s="9">
        <f>E92-E94</f>
        <v>0</v>
      </c>
    </row>
    <row r="98">
      <c r="A98" s="8" t="s">
        <v>250</v>
      </c>
      <c r="B98" s="10">
        <v>0.0</v>
      </c>
      <c r="D98" s="8" t="s">
        <v>251</v>
      </c>
      <c r="E98" s="10">
        <f>B101</f>
        <v>5200</v>
      </c>
      <c r="F98" s="4"/>
    </row>
    <row r="99">
      <c r="A99" s="8" t="s">
        <v>252</v>
      </c>
      <c r="B99" s="9">
        <f>IF(B97&lt;=0,0,MIN(B97,B98))</f>
        <v>0</v>
      </c>
      <c r="D99" s="8" t="s">
        <v>253</v>
      </c>
      <c r="E99" s="9">
        <f>IF(E97&lt;=0,0,MIN(E97,E98))</f>
        <v>0</v>
      </c>
    </row>
    <row r="100">
      <c r="A100" s="8" t="s">
        <v>31</v>
      </c>
      <c r="B100" s="9">
        <f>B98+B99</f>
        <v>0</v>
      </c>
      <c r="D100" s="8" t="s">
        <v>31</v>
      </c>
      <c r="E100" s="9">
        <f>E98+E99</f>
        <v>5200</v>
      </c>
    </row>
    <row r="101">
      <c r="A101" s="8" t="s">
        <v>32</v>
      </c>
      <c r="B101" s="9">
        <f>B100+B89</f>
        <v>5200</v>
      </c>
      <c r="D101" s="8" t="s">
        <v>32</v>
      </c>
      <c r="E101" s="9">
        <f>E100+E89</f>
        <v>5200</v>
      </c>
    </row>
    <row r="102">
      <c r="A102" s="14" t="s">
        <v>33</v>
      </c>
      <c r="B102" s="9">
        <f>MAX(0 , B88 - B83)</f>
        <v>0</v>
      </c>
      <c r="D102" s="14" t="s">
        <v>33</v>
      </c>
      <c r="E102" s="9">
        <f>MAX(0 , E88 - E83)</f>
        <v>0</v>
      </c>
    </row>
    <row r="103">
      <c r="A103" s="8" t="s">
        <v>34</v>
      </c>
      <c r="B103" s="10">
        <v>0.0</v>
      </c>
      <c r="D103" s="8" t="s">
        <v>34</v>
      </c>
      <c r="E103" s="10">
        <f>B104</f>
        <v>0</v>
      </c>
      <c r="F103" s="4"/>
    </row>
    <row r="104">
      <c r="A104" s="8" t="s">
        <v>35</v>
      </c>
      <c r="B104" s="9">
        <f>Max(0,B84-B85-B86-B87)+B103</f>
        <v>0</v>
      </c>
      <c r="D104" s="8" t="s">
        <v>35</v>
      </c>
      <c r="E104" s="9">
        <f>Max(0,E84-E85-E86-E87)+E103</f>
        <v>3800</v>
      </c>
    </row>
    <row r="105">
      <c r="A105" s="15"/>
    </row>
    <row r="106">
      <c r="A106" s="15"/>
    </row>
    <row r="107">
      <c r="A107" s="16" t="s">
        <v>254</v>
      </c>
    </row>
    <row r="108">
      <c r="A108" s="4" t="s">
        <v>4</v>
      </c>
      <c r="B108" s="13">
        <f>F13</f>
        <v>2025</v>
      </c>
      <c r="I108" s="4" t="s">
        <v>4</v>
      </c>
      <c r="J108" s="13">
        <f>F13+1</f>
        <v>2026</v>
      </c>
    </row>
    <row r="109">
      <c r="A109" s="9"/>
      <c r="B109" s="17" t="s">
        <v>37</v>
      </c>
      <c r="C109" s="18" t="s">
        <v>38</v>
      </c>
      <c r="D109" s="19"/>
      <c r="E109" s="20" t="s">
        <v>39</v>
      </c>
      <c r="F109" s="19"/>
      <c r="G109" s="21" t="s">
        <v>40</v>
      </c>
      <c r="H109" s="22"/>
      <c r="I109" s="9"/>
      <c r="J109" s="17" t="s">
        <v>37</v>
      </c>
      <c r="K109" s="18" t="s">
        <v>38</v>
      </c>
      <c r="L109" s="19"/>
      <c r="M109" s="20" t="s">
        <v>39</v>
      </c>
      <c r="N109" s="19"/>
      <c r="O109" s="21" t="s">
        <v>40</v>
      </c>
    </row>
    <row r="110">
      <c r="A110" s="23" t="s">
        <v>41</v>
      </c>
      <c r="B110" s="24" t="s">
        <v>42</v>
      </c>
      <c r="C110" s="24" t="s">
        <v>43</v>
      </c>
      <c r="D110" s="25">
        <f>B4+B5</f>
        <v>150000</v>
      </c>
      <c r="E110" s="24" t="s">
        <v>44</v>
      </c>
      <c r="F110" s="25">
        <f t="array" ref="F110">INDIRECT(ADDRESS(H13,28))</f>
        <v>4162.5</v>
      </c>
      <c r="G110" s="25">
        <f>D110-F110</f>
        <v>145837.5</v>
      </c>
      <c r="H110" s="22"/>
      <c r="I110" s="23" t="s">
        <v>41</v>
      </c>
      <c r="J110" s="24" t="s">
        <v>42</v>
      </c>
      <c r="K110" s="24" t="s">
        <v>43</v>
      </c>
      <c r="L110" s="25">
        <f>D110</f>
        <v>150000</v>
      </c>
      <c r="M110" s="24" t="s">
        <v>44</v>
      </c>
      <c r="N110" s="25">
        <f t="array" ref="N110">INDIRECT(ADDRESS(H13+1,28))</f>
        <v>8325</v>
      </c>
      <c r="O110" s="25">
        <f>L110-N110</f>
        <v>141675</v>
      </c>
    </row>
    <row r="111">
      <c r="A111" s="26"/>
      <c r="B111" s="24" t="s">
        <v>45</v>
      </c>
      <c r="C111" s="24" t="s">
        <v>46</v>
      </c>
      <c r="D111" s="24">
        <v>0.0</v>
      </c>
      <c r="E111" s="24" t="s">
        <v>47</v>
      </c>
      <c r="F111" s="24">
        <v>0.0</v>
      </c>
      <c r="G111" s="24">
        <v>0.0</v>
      </c>
      <c r="H111" s="22"/>
      <c r="I111" s="26"/>
      <c r="J111" s="24" t="s">
        <v>45</v>
      </c>
      <c r="K111" s="24" t="s">
        <v>46</v>
      </c>
      <c r="L111" s="24">
        <v>0.0</v>
      </c>
      <c r="M111" s="24" t="s">
        <v>47</v>
      </c>
      <c r="N111" s="24">
        <v>0.0</v>
      </c>
      <c r="O111" s="24">
        <v>0.0</v>
      </c>
    </row>
    <row r="112">
      <c r="A112" s="27"/>
      <c r="B112" s="28" t="s">
        <v>48</v>
      </c>
      <c r="C112" s="24" t="s">
        <v>49</v>
      </c>
      <c r="D112" s="25">
        <f>D110+D111</f>
        <v>150000</v>
      </c>
      <c r="E112" s="24" t="s">
        <v>50</v>
      </c>
      <c r="F112" s="25">
        <f t="shared" ref="F112:G112" si="124">F110+F111</f>
        <v>4162.5</v>
      </c>
      <c r="G112" s="25">
        <f t="shared" si="124"/>
        <v>145837.5</v>
      </c>
      <c r="H112" s="22"/>
      <c r="I112" s="27"/>
      <c r="J112" s="28" t="s">
        <v>48</v>
      </c>
      <c r="K112" s="24" t="s">
        <v>49</v>
      </c>
      <c r="L112" s="25">
        <f>L110+L111</f>
        <v>150000</v>
      </c>
      <c r="M112" s="24" t="s">
        <v>50</v>
      </c>
      <c r="N112" s="25">
        <f t="shared" ref="N112:O112" si="125">N110+N111</f>
        <v>8325</v>
      </c>
      <c r="O112" s="25">
        <f t="shared" si="125"/>
        <v>141675</v>
      </c>
    </row>
    <row r="113">
      <c r="A113" s="23" t="s">
        <v>51</v>
      </c>
      <c r="B113" s="25"/>
      <c r="C113" s="25"/>
      <c r="D113" s="25"/>
      <c r="E113" s="25"/>
      <c r="F113" s="25"/>
      <c r="G113" s="25"/>
      <c r="H113" s="22"/>
      <c r="I113" s="23" t="s">
        <v>51</v>
      </c>
      <c r="J113" s="25"/>
      <c r="K113" s="25"/>
      <c r="L113" s="25"/>
      <c r="M113" s="25"/>
      <c r="N113" s="25"/>
      <c r="O113" s="25"/>
    </row>
    <row r="114">
      <c r="A114" s="26"/>
      <c r="B114" s="24" t="s">
        <v>35</v>
      </c>
      <c r="C114" s="24" t="s">
        <v>52</v>
      </c>
      <c r="D114" s="25">
        <f>B104</f>
        <v>0</v>
      </c>
      <c r="E114" s="25"/>
      <c r="F114" s="25"/>
      <c r="G114" s="25">
        <f>D114</f>
        <v>0</v>
      </c>
      <c r="H114" s="22"/>
      <c r="I114" s="26"/>
      <c r="J114" s="24" t="s">
        <v>35</v>
      </c>
      <c r="K114" s="24" t="s">
        <v>52</v>
      </c>
      <c r="L114" s="25" t="str">
        <f>J104</f>
        <v/>
      </c>
      <c r="M114" s="25"/>
      <c r="N114" s="25"/>
      <c r="O114" s="25" t="str">
        <f>L114</f>
        <v/>
      </c>
    </row>
    <row r="115">
      <c r="A115" s="27"/>
      <c r="B115" s="25"/>
      <c r="C115" s="25"/>
      <c r="D115" s="25"/>
      <c r="E115" s="25"/>
      <c r="F115" s="25"/>
      <c r="G115" s="25"/>
      <c r="H115" s="22"/>
      <c r="I115" s="27"/>
      <c r="J115" s="25"/>
      <c r="K115" s="25"/>
      <c r="L115" s="25"/>
      <c r="M115" s="25"/>
      <c r="N115" s="25"/>
      <c r="O115" s="25"/>
    </row>
    <row r="116">
      <c r="A116" s="29" t="s">
        <v>48</v>
      </c>
      <c r="B116" s="19"/>
      <c r="C116" s="28" t="s">
        <v>53</v>
      </c>
      <c r="D116" s="30">
        <f>D112+D114</f>
        <v>150000</v>
      </c>
      <c r="E116" s="28" t="s">
        <v>54</v>
      </c>
      <c r="F116" s="30">
        <f>F112</f>
        <v>4162.5</v>
      </c>
      <c r="G116" s="30">
        <f>G112+G114</f>
        <v>145837.5</v>
      </c>
      <c r="H116" s="22"/>
      <c r="I116" s="29" t="s">
        <v>48</v>
      </c>
      <c r="J116" s="19"/>
      <c r="K116" s="28" t="s">
        <v>53</v>
      </c>
      <c r="L116" s="30">
        <f>L112+L114</f>
        <v>150000</v>
      </c>
      <c r="M116" s="28" t="s">
        <v>54</v>
      </c>
      <c r="N116" s="30">
        <f>N112</f>
        <v>8325</v>
      </c>
      <c r="O116" s="30">
        <f>O112+O114</f>
        <v>141675</v>
      </c>
    </row>
    <row r="117">
      <c r="A117" s="9"/>
      <c r="B117" s="17" t="s">
        <v>55</v>
      </c>
      <c r="C117" s="31"/>
      <c r="D117" s="32"/>
      <c r="E117" s="32"/>
      <c r="F117" s="19"/>
      <c r="G117" s="21" t="s">
        <v>40</v>
      </c>
      <c r="H117" s="22"/>
      <c r="I117" s="9"/>
      <c r="J117" s="17" t="s">
        <v>55</v>
      </c>
      <c r="K117" s="31"/>
      <c r="L117" s="32"/>
      <c r="M117" s="32"/>
      <c r="N117" s="19"/>
      <c r="O117" s="21" t="s">
        <v>40</v>
      </c>
    </row>
    <row r="118">
      <c r="A118" s="9"/>
      <c r="B118" s="24" t="s">
        <v>56</v>
      </c>
      <c r="C118" s="24" t="s">
        <v>57</v>
      </c>
      <c r="D118" s="33"/>
      <c r="E118" s="34"/>
      <c r="F118" s="35"/>
      <c r="G118" s="25">
        <f>G116-G120-G122</f>
        <v>67200</v>
      </c>
      <c r="H118" s="22"/>
      <c r="I118" s="9"/>
      <c r="J118" s="24" t="s">
        <v>56</v>
      </c>
      <c r="K118" s="24" t="s">
        <v>57</v>
      </c>
      <c r="L118" s="33"/>
      <c r="M118" s="34"/>
      <c r="N118" s="35"/>
      <c r="O118" s="25">
        <f>O116-O120-O122</f>
        <v>53675</v>
      </c>
    </row>
    <row r="119">
      <c r="A119" s="9"/>
      <c r="B119" s="36"/>
      <c r="C119" s="19"/>
      <c r="D119" s="37"/>
      <c r="F119" s="38"/>
      <c r="G119" s="25"/>
      <c r="H119" s="22"/>
      <c r="I119" s="9"/>
      <c r="J119" s="36"/>
      <c r="K119" s="19"/>
      <c r="L119" s="37"/>
      <c r="N119" s="38"/>
      <c r="O119" s="25"/>
    </row>
    <row r="120">
      <c r="A120" s="9"/>
      <c r="B120" s="24" t="s">
        <v>58</v>
      </c>
      <c r="C120" s="24" t="s">
        <v>59</v>
      </c>
      <c r="D120" s="37"/>
      <c r="F120" s="38"/>
      <c r="G120" s="25">
        <f>B90</f>
        <v>-9362.5</v>
      </c>
      <c r="H120" s="22"/>
      <c r="I120" s="9"/>
      <c r="J120" s="24" t="s">
        <v>58</v>
      </c>
      <c r="K120" s="24" t="s">
        <v>59</v>
      </c>
      <c r="L120" s="37"/>
      <c r="N120" s="38"/>
      <c r="O120" s="25" t="str">
        <f>J90</f>
        <v/>
      </c>
    </row>
    <row r="121">
      <c r="A121" s="9"/>
      <c r="B121" s="36"/>
      <c r="C121" s="19"/>
      <c r="D121" s="37"/>
      <c r="F121" s="38"/>
      <c r="G121" s="25"/>
      <c r="H121" s="22"/>
      <c r="I121" s="9"/>
      <c r="J121" s="36"/>
      <c r="K121" s="19"/>
      <c r="L121" s="37"/>
      <c r="N121" s="38"/>
      <c r="O121" s="25"/>
    </row>
    <row r="122">
      <c r="A122" s="9"/>
      <c r="B122" s="24" t="s">
        <v>60</v>
      </c>
      <c r="C122" s="24" t="s">
        <v>61</v>
      </c>
      <c r="D122" s="37"/>
      <c r="F122" s="38"/>
      <c r="G122" s="39">
        <f>88000</f>
        <v>88000</v>
      </c>
      <c r="H122" s="22"/>
      <c r="I122" s="9"/>
      <c r="J122" s="24" t="s">
        <v>60</v>
      </c>
      <c r="K122" s="24" t="s">
        <v>61</v>
      </c>
      <c r="L122" s="37"/>
      <c r="N122" s="38"/>
      <c r="O122" s="39">
        <f>88000</f>
        <v>88000</v>
      </c>
    </row>
    <row r="123">
      <c r="A123" s="9"/>
      <c r="B123" s="24" t="s">
        <v>62</v>
      </c>
      <c r="C123" s="24" t="s">
        <v>63</v>
      </c>
      <c r="D123" s="37"/>
      <c r="F123" s="38"/>
      <c r="G123" s="25">
        <f>G122</f>
        <v>88000</v>
      </c>
      <c r="H123" s="22"/>
      <c r="I123" s="9"/>
      <c r="J123" s="24" t="s">
        <v>62</v>
      </c>
      <c r="K123" s="24" t="s">
        <v>63</v>
      </c>
      <c r="L123" s="37"/>
      <c r="N123" s="38"/>
      <c r="O123" s="25">
        <f>O122</f>
        <v>88000</v>
      </c>
    </row>
    <row r="124">
      <c r="A124" s="9"/>
      <c r="B124" s="24" t="s">
        <v>64</v>
      </c>
      <c r="C124" s="24" t="s">
        <v>65</v>
      </c>
      <c r="D124" s="40"/>
      <c r="E124" s="41"/>
      <c r="F124" s="42"/>
      <c r="G124" s="30">
        <f>SUM(G118:G122)</f>
        <v>145837.5</v>
      </c>
      <c r="H124" s="22"/>
      <c r="I124" s="9"/>
      <c r="J124" s="24" t="s">
        <v>64</v>
      </c>
      <c r="K124" s="24" t="s">
        <v>65</v>
      </c>
      <c r="L124" s="40"/>
      <c r="M124" s="41"/>
      <c r="N124" s="42"/>
      <c r="O124" s="30">
        <f>SUM(O118:O122)</f>
        <v>141675</v>
      </c>
    </row>
    <row r="127">
      <c r="A127" s="16" t="s">
        <v>66</v>
      </c>
      <c r="E127" s="43" t="s">
        <v>67</v>
      </c>
      <c r="F127" s="44" t="str">
        <f> IF(((B88 - B83) + C142)=B102,"C'est bon","C'est pas bon")</f>
        <v>C'est pas bon</v>
      </c>
      <c r="J127" s="43" t="s">
        <v>67</v>
      </c>
      <c r="K127" s="44" t="str">
        <f> IF(((E88 - E83) + I142)=E102,"C'est bon","C'est pas bon")</f>
        <v>C'est bon</v>
      </c>
    </row>
    <row r="128">
      <c r="B128" s="13">
        <f>F13</f>
        <v>2025</v>
      </c>
      <c r="H128" s="13">
        <f>F13+1</f>
        <v>2026</v>
      </c>
    </row>
    <row r="129">
      <c r="A129" s="45" t="s">
        <v>68</v>
      </c>
      <c r="B129" s="46"/>
      <c r="C129" s="32"/>
      <c r="D129" s="32"/>
      <c r="E129" s="19"/>
      <c r="G129" s="45" t="s">
        <v>68</v>
      </c>
      <c r="H129" s="46"/>
      <c r="I129" s="32"/>
      <c r="J129" s="32"/>
      <c r="K129" s="19"/>
    </row>
    <row r="130">
      <c r="A130" s="8" t="s">
        <v>69</v>
      </c>
      <c r="B130" s="8" t="s">
        <v>70</v>
      </c>
      <c r="C130" s="9">
        <f>B84</f>
        <v>8000</v>
      </c>
      <c r="D130" s="47"/>
      <c r="E130" s="35"/>
      <c r="G130" s="8" t="s">
        <v>69</v>
      </c>
      <c r="H130" s="8" t="s">
        <v>70</v>
      </c>
      <c r="I130" s="9">
        <f>E84</f>
        <v>8000</v>
      </c>
      <c r="J130" s="47"/>
      <c r="K130" s="35"/>
    </row>
    <row r="131">
      <c r="A131" s="8" t="s">
        <v>71</v>
      </c>
      <c r="B131" s="8" t="s">
        <v>72</v>
      </c>
      <c r="C131" s="9">
        <f>C130</f>
        <v>8000</v>
      </c>
      <c r="D131" s="37"/>
      <c r="E131" s="38"/>
      <c r="G131" s="8" t="s">
        <v>71</v>
      </c>
      <c r="H131" s="8" t="s">
        <v>72</v>
      </c>
      <c r="I131" s="9">
        <f>I130</f>
        <v>8000</v>
      </c>
      <c r="J131" s="37"/>
      <c r="K131" s="38"/>
    </row>
    <row r="132">
      <c r="A132" s="8" t="s">
        <v>73</v>
      </c>
      <c r="B132" s="8" t="s">
        <v>74</v>
      </c>
      <c r="C132" s="9">
        <f t="shared" ref="C132:C133" si="126">B85</f>
        <v>10200</v>
      </c>
      <c r="D132" s="37"/>
      <c r="E132" s="38"/>
      <c r="G132" s="8" t="s">
        <v>73</v>
      </c>
      <c r="H132" s="8" t="s">
        <v>74</v>
      </c>
      <c r="I132" s="9">
        <f t="shared" ref="I132:I133" si="127">E85</f>
        <v>1200</v>
      </c>
      <c r="J132" s="37"/>
      <c r="K132" s="38"/>
    </row>
    <row r="133">
      <c r="A133" s="8" t="s">
        <v>75</v>
      </c>
      <c r="B133" s="8" t="s">
        <v>76</v>
      </c>
      <c r="C133" s="9">
        <f t="shared" si="126"/>
        <v>0</v>
      </c>
      <c r="D133" s="37"/>
      <c r="E133" s="38"/>
      <c r="G133" s="8" t="s">
        <v>75</v>
      </c>
      <c r="H133" s="8" t="s">
        <v>76</v>
      </c>
      <c r="I133" s="9">
        <f t="shared" si="127"/>
        <v>0</v>
      </c>
      <c r="J133" s="37"/>
      <c r="K133" s="38"/>
    </row>
    <row r="134">
      <c r="A134" s="8" t="s">
        <v>77</v>
      </c>
      <c r="B134" s="8" t="s">
        <v>78</v>
      </c>
      <c r="C134" s="9">
        <f>B83</f>
        <v>4162.5</v>
      </c>
      <c r="D134" s="37"/>
      <c r="E134" s="38"/>
      <c r="G134" s="8" t="s">
        <v>77</v>
      </c>
      <c r="H134" s="8" t="s">
        <v>78</v>
      </c>
      <c r="I134" s="9">
        <f>E83</f>
        <v>4162.5</v>
      </c>
      <c r="J134" s="37"/>
      <c r="K134" s="38"/>
    </row>
    <row r="135">
      <c r="A135" s="8" t="s">
        <v>79</v>
      </c>
      <c r="B135" s="8" t="s">
        <v>80</v>
      </c>
      <c r="C135" s="9">
        <f>SUM(C132:C134)</f>
        <v>14362.5</v>
      </c>
      <c r="D135" s="37"/>
      <c r="E135" s="38"/>
      <c r="G135" s="8" t="s">
        <v>79</v>
      </c>
      <c r="H135" s="8" t="s">
        <v>80</v>
      </c>
      <c r="I135" s="9">
        <f>SUM(I132:I134)</f>
        <v>5362.5</v>
      </c>
      <c r="J135" s="37"/>
      <c r="K135" s="38"/>
    </row>
    <row r="136">
      <c r="A136" s="8" t="s">
        <v>81</v>
      </c>
      <c r="B136" s="8" t="s">
        <v>82</v>
      </c>
      <c r="C136" s="9">
        <f>C131-C135</f>
        <v>-6362.5</v>
      </c>
      <c r="D136" s="37"/>
      <c r="E136" s="38"/>
      <c r="G136" s="8" t="s">
        <v>81</v>
      </c>
      <c r="H136" s="8" t="s">
        <v>82</v>
      </c>
      <c r="I136" s="9">
        <f>I131-I135</f>
        <v>2637.5</v>
      </c>
      <c r="J136" s="37"/>
      <c r="K136" s="38"/>
    </row>
    <row r="137">
      <c r="A137" s="8" t="s">
        <v>83</v>
      </c>
      <c r="B137" s="8" t="s">
        <v>84</v>
      </c>
      <c r="C137" s="9">
        <f>B87</f>
        <v>3000</v>
      </c>
      <c r="D137" s="37"/>
      <c r="E137" s="38"/>
      <c r="G137" s="8" t="s">
        <v>83</v>
      </c>
      <c r="H137" s="8" t="s">
        <v>84</v>
      </c>
      <c r="I137" s="9">
        <f>E87</f>
        <v>3000</v>
      </c>
      <c r="J137" s="37"/>
      <c r="K137" s="38"/>
    </row>
    <row r="138">
      <c r="A138" s="8" t="s">
        <v>85</v>
      </c>
      <c r="B138" s="8" t="s">
        <v>86</v>
      </c>
      <c r="C138" s="9">
        <f>B90</f>
        <v>-9362.5</v>
      </c>
      <c r="D138" s="40"/>
      <c r="E138" s="42"/>
      <c r="G138" s="8" t="s">
        <v>85</v>
      </c>
      <c r="H138" s="8" t="s">
        <v>86</v>
      </c>
      <c r="I138" s="9">
        <f>E90</f>
        <v>-362.5</v>
      </c>
      <c r="J138" s="40"/>
      <c r="K138" s="42"/>
    </row>
    <row r="139">
      <c r="A139" s="48" t="s">
        <v>87</v>
      </c>
      <c r="B139" s="46"/>
      <c r="C139" s="32"/>
      <c r="D139" s="32"/>
      <c r="E139" s="19"/>
      <c r="G139" s="48" t="s">
        <v>87</v>
      </c>
      <c r="H139" s="46"/>
      <c r="I139" s="32"/>
      <c r="J139" s="32"/>
      <c r="K139" s="19"/>
    </row>
    <row r="140">
      <c r="A140" s="8" t="s">
        <v>88</v>
      </c>
      <c r="B140" s="8" t="s">
        <v>89</v>
      </c>
      <c r="C140" s="9">
        <f>Max(0,C138)</f>
        <v>0</v>
      </c>
      <c r="D140" s="8" t="s">
        <v>90</v>
      </c>
      <c r="E140" s="9">
        <f>-MIN(0,C138)</f>
        <v>9362.5</v>
      </c>
      <c r="G140" s="8" t="s">
        <v>88</v>
      </c>
      <c r="H140" s="8" t="s">
        <v>89</v>
      </c>
      <c r="I140" s="9">
        <f>Max(0,I138)</f>
        <v>0</v>
      </c>
      <c r="J140" s="8" t="s">
        <v>90</v>
      </c>
      <c r="K140" s="9">
        <f>-MIN(0,I138)</f>
        <v>362.5</v>
      </c>
    </row>
    <row r="141">
      <c r="A141" s="8" t="s">
        <v>91</v>
      </c>
      <c r="B141" s="8" t="s">
        <v>92</v>
      </c>
      <c r="C141" s="9">
        <f>B91</f>
        <v>4162.5</v>
      </c>
      <c r="D141" s="8" t="s">
        <v>93</v>
      </c>
      <c r="E141" s="9">
        <f>IF(B88 &gt; 0 , MIN(B88 , B83) , 0)</f>
        <v>0</v>
      </c>
      <c r="G141" s="8" t="s">
        <v>91</v>
      </c>
      <c r="H141" s="8" t="s">
        <v>92</v>
      </c>
      <c r="I141" s="9">
        <f>E91</f>
        <v>362.5</v>
      </c>
      <c r="J141" s="8" t="s">
        <v>93</v>
      </c>
      <c r="K141" s="9">
        <f>IF(E88 &gt; 0 , MIN(E88 , E83) , 0)</f>
        <v>3800</v>
      </c>
    </row>
    <row r="142">
      <c r="A142" s="14" t="s">
        <v>94</v>
      </c>
      <c r="B142" s="8" t="s">
        <v>95</v>
      </c>
      <c r="C142" s="9">
        <f>B91</f>
        <v>4162.5</v>
      </c>
      <c r="D142" s="8" t="s">
        <v>96</v>
      </c>
      <c r="E142" s="9">
        <f>IF(B88 &lt; 0 , ABS(B88) , 0)</f>
        <v>5200</v>
      </c>
      <c r="G142" s="14" t="s">
        <v>94</v>
      </c>
      <c r="H142" s="8" t="s">
        <v>95</v>
      </c>
      <c r="I142" s="9">
        <f>E91</f>
        <v>362.5</v>
      </c>
      <c r="J142" s="8" t="s">
        <v>96</v>
      </c>
      <c r="K142" s="9">
        <f>IF(E88 &lt; 0 , ABS(E88) , 0)</f>
        <v>0</v>
      </c>
    </row>
    <row r="143">
      <c r="A143" s="8" t="s">
        <v>97</v>
      </c>
      <c r="B143" s="8" t="s">
        <v>98</v>
      </c>
      <c r="C143" s="9">
        <f>IF(B97&gt;0,B97,0)</f>
        <v>0</v>
      </c>
      <c r="D143" s="8" t="s">
        <v>99</v>
      </c>
      <c r="E143" s="9">
        <f>IF(B97&lt;0,-B97,0)</f>
        <v>5200</v>
      </c>
      <c r="G143" s="8" t="s">
        <v>97</v>
      </c>
      <c r="H143" s="8" t="s">
        <v>98</v>
      </c>
      <c r="I143" s="9">
        <f>IF(E97&gt;0,E97,0)</f>
        <v>0</v>
      </c>
      <c r="J143" s="8" t="s">
        <v>99</v>
      </c>
      <c r="K143" s="9">
        <f>IF(E97&lt;0,-E97,0)</f>
        <v>0</v>
      </c>
    </row>
    <row r="144">
      <c r="A144" s="8" t="s">
        <v>100</v>
      </c>
      <c r="B144" s="8" t="s">
        <v>101</v>
      </c>
      <c r="C144" s="9">
        <f>MAX(0 , B88 - B83)</f>
        <v>0</v>
      </c>
      <c r="D144" s="8" t="s">
        <v>102</v>
      </c>
      <c r="E144" s="9">
        <f>IF(B102&lt;0,-B102,0)</f>
        <v>0</v>
      </c>
      <c r="G144" s="8" t="s">
        <v>103</v>
      </c>
      <c r="H144" s="8" t="s">
        <v>101</v>
      </c>
      <c r="I144" s="9">
        <f>MAX(0 , E88 - E83)</f>
        <v>0</v>
      </c>
      <c r="J144" s="8" t="s">
        <v>102</v>
      </c>
      <c r="K144" s="9">
        <f>IF(E102&lt;0,-E102,0)</f>
        <v>0</v>
      </c>
    </row>
    <row r="146">
      <c r="A146" s="16" t="s">
        <v>104</v>
      </c>
    </row>
    <row r="147">
      <c r="A147" s="49" t="s">
        <v>105</v>
      </c>
    </row>
    <row r="149">
      <c r="A149" s="50" t="s">
        <v>106</v>
      </c>
      <c r="B149" s="51">
        <f>F13</f>
        <v>2025</v>
      </c>
      <c r="K149" s="50" t="s">
        <v>106</v>
      </c>
      <c r="L149" s="51">
        <f>F13+1</f>
        <v>2026</v>
      </c>
    </row>
    <row r="151">
      <c r="A151" s="9"/>
      <c r="B151" s="52" t="s">
        <v>107</v>
      </c>
      <c r="C151" s="19"/>
      <c r="D151" s="53" t="s">
        <v>108</v>
      </c>
      <c r="E151" s="19"/>
      <c r="F151" s="53" t="s">
        <v>109</v>
      </c>
      <c r="G151" s="19"/>
      <c r="H151" s="54" t="s">
        <v>110</v>
      </c>
      <c r="I151" s="19"/>
      <c r="K151" s="9"/>
      <c r="L151" s="52" t="s">
        <v>107</v>
      </c>
      <c r="M151" s="19"/>
      <c r="N151" s="53" t="s">
        <v>108</v>
      </c>
      <c r="O151" s="19"/>
      <c r="P151" s="53" t="s">
        <v>109</v>
      </c>
      <c r="Q151" s="19"/>
      <c r="R151" s="54" t="s">
        <v>110</v>
      </c>
      <c r="S151" s="19"/>
    </row>
    <row r="152">
      <c r="A152" s="8" t="s">
        <v>111</v>
      </c>
      <c r="B152" s="8" t="s">
        <v>112</v>
      </c>
      <c r="C152" s="8">
        <v>0.0</v>
      </c>
      <c r="D152" s="8" t="s">
        <v>113</v>
      </c>
      <c r="E152" s="9">
        <f>IF(F13=B13,B9*B15,0)</f>
        <v>22500</v>
      </c>
      <c r="F152" s="8" t="s">
        <v>114</v>
      </c>
      <c r="G152" s="8">
        <v>0.0</v>
      </c>
      <c r="H152" s="8" t="s">
        <v>115</v>
      </c>
      <c r="I152" s="9">
        <f t="shared" ref="I152:I157" si="128">C152+E152+G152</f>
        <v>22500</v>
      </c>
      <c r="K152" s="8" t="s">
        <v>111</v>
      </c>
      <c r="L152" s="8" t="s">
        <v>112</v>
      </c>
      <c r="M152" s="8">
        <f t="shared" ref="M152:M156" si="129">I152</f>
        <v>22500</v>
      </c>
      <c r="N152" s="8" t="s">
        <v>113</v>
      </c>
      <c r="O152" s="8">
        <v>0.0</v>
      </c>
      <c r="P152" s="8" t="s">
        <v>114</v>
      </c>
      <c r="Q152" s="8">
        <v>0.0</v>
      </c>
      <c r="R152" s="8" t="s">
        <v>115</v>
      </c>
      <c r="S152" s="9">
        <f t="shared" ref="S152:S157" si="130">M152+O152+Q152</f>
        <v>22500</v>
      </c>
    </row>
    <row r="153">
      <c r="A153" s="8" t="s">
        <v>116</v>
      </c>
      <c r="B153" s="8" t="s">
        <v>117</v>
      </c>
      <c r="C153" s="8">
        <v>0.0</v>
      </c>
      <c r="D153" s="8" t="s">
        <v>118</v>
      </c>
      <c r="E153" s="9">
        <f>IF(F13=B13,B9*(B16+B17),0)</f>
        <v>82500</v>
      </c>
      <c r="F153" s="8" t="s">
        <v>119</v>
      </c>
      <c r="G153" s="8">
        <v>0.0</v>
      </c>
      <c r="H153" s="8" t="s">
        <v>120</v>
      </c>
      <c r="I153" s="9">
        <f t="shared" si="128"/>
        <v>82500</v>
      </c>
      <c r="K153" s="8" t="s">
        <v>116</v>
      </c>
      <c r="L153" s="8" t="s">
        <v>117</v>
      </c>
      <c r="M153" s="8">
        <f t="shared" si="129"/>
        <v>82500</v>
      </c>
      <c r="N153" s="8" t="s">
        <v>118</v>
      </c>
      <c r="O153" s="8">
        <v>0.0</v>
      </c>
      <c r="P153" s="8" t="s">
        <v>119</v>
      </c>
      <c r="Q153" s="8">
        <v>0.0</v>
      </c>
      <c r="R153" s="8" t="s">
        <v>120</v>
      </c>
      <c r="S153" s="9">
        <f t="shared" si="130"/>
        <v>82500</v>
      </c>
    </row>
    <row r="154">
      <c r="A154" s="8" t="s">
        <v>121</v>
      </c>
      <c r="B154" s="8" t="s">
        <v>122</v>
      </c>
      <c r="C154" s="8">
        <v>0.0</v>
      </c>
      <c r="D154" s="8" t="s">
        <v>123</v>
      </c>
      <c r="E154" s="9">
        <f>IF(F13=B13,B9*B18,0)</f>
        <v>22500</v>
      </c>
      <c r="F154" s="8" t="s">
        <v>124</v>
      </c>
      <c r="G154" s="8">
        <v>0.0</v>
      </c>
      <c r="H154" s="8" t="s">
        <v>125</v>
      </c>
      <c r="I154" s="9">
        <f t="shared" si="128"/>
        <v>22500</v>
      </c>
      <c r="K154" s="8" t="s">
        <v>121</v>
      </c>
      <c r="L154" s="8" t="s">
        <v>122</v>
      </c>
      <c r="M154" s="8">
        <f t="shared" si="129"/>
        <v>22500</v>
      </c>
      <c r="N154" s="8" t="s">
        <v>123</v>
      </c>
      <c r="O154" s="8">
        <v>0.0</v>
      </c>
      <c r="P154" s="8" t="s">
        <v>124</v>
      </c>
      <c r="Q154" s="8">
        <v>0.0</v>
      </c>
      <c r="R154" s="8" t="s">
        <v>125</v>
      </c>
      <c r="S154" s="9">
        <f t="shared" si="130"/>
        <v>22500</v>
      </c>
    </row>
    <row r="155">
      <c r="A155" s="8" t="s">
        <v>126</v>
      </c>
      <c r="B155" s="8" t="s">
        <v>127</v>
      </c>
      <c r="C155" s="8">
        <v>0.0</v>
      </c>
      <c r="D155" s="8" t="s">
        <v>128</v>
      </c>
      <c r="E155" s="9">
        <f>IF(F13=B13,B9*B19,0)</f>
        <v>22500</v>
      </c>
      <c r="F155" s="8" t="s">
        <v>129</v>
      </c>
      <c r="G155" s="8">
        <v>0.0</v>
      </c>
      <c r="H155" s="8" t="s">
        <v>130</v>
      </c>
      <c r="I155" s="9">
        <f t="shared" si="128"/>
        <v>22500</v>
      </c>
      <c r="K155" s="8" t="s">
        <v>126</v>
      </c>
      <c r="L155" s="8" t="s">
        <v>127</v>
      </c>
      <c r="M155" s="8">
        <f t="shared" si="129"/>
        <v>22500</v>
      </c>
      <c r="N155" s="8" t="s">
        <v>128</v>
      </c>
      <c r="O155" s="8">
        <v>0.0</v>
      </c>
      <c r="P155" s="8" t="s">
        <v>129</v>
      </c>
      <c r="Q155" s="8">
        <v>0.0</v>
      </c>
      <c r="R155" s="8" t="s">
        <v>130</v>
      </c>
      <c r="S155" s="9">
        <f t="shared" si="130"/>
        <v>22500</v>
      </c>
    </row>
    <row r="156">
      <c r="A156" s="8" t="s">
        <v>131</v>
      </c>
      <c r="B156" s="8" t="s">
        <v>132</v>
      </c>
      <c r="C156" s="8">
        <v>0.0</v>
      </c>
      <c r="D156" s="8" t="s">
        <v>133</v>
      </c>
      <c r="E156" s="9">
        <f>IF(F13=B13,B20,0)</f>
        <v>0</v>
      </c>
      <c r="F156" s="8" t="s">
        <v>134</v>
      </c>
      <c r="G156" s="8">
        <v>0.0</v>
      </c>
      <c r="H156" s="8" t="s">
        <v>135</v>
      </c>
      <c r="I156" s="9">
        <f t="shared" si="128"/>
        <v>0</v>
      </c>
      <c r="K156" s="8" t="s">
        <v>131</v>
      </c>
      <c r="L156" s="8" t="s">
        <v>132</v>
      </c>
      <c r="M156" s="8">
        <f t="shared" si="129"/>
        <v>0</v>
      </c>
      <c r="N156" s="8" t="s">
        <v>133</v>
      </c>
      <c r="O156" s="8">
        <v>0.0</v>
      </c>
      <c r="P156" s="8" t="s">
        <v>134</v>
      </c>
      <c r="Q156" s="8">
        <v>0.0</v>
      </c>
      <c r="R156" s="8" t="s">
        <v>135</v>
      </c>
      <c r="S156" s="9">
        <f t="shared" si="130"/>
        <v>0</v>
      </c>
    </row>
    <row r="157">
      <c r="A157" s="8" t="s">
        <v>136</v>
      </c>
      <c r="B157" s="8" t="s">
        <v>137</v>
      </c>
      <c r="C157" s="8">
        <v>0.0</v>
      </c>
      <c r="D157" s="8" t="s">
        <v>138</v>
      </c>
      <c r="E157" s="8">
        <v>0.0</v>
      </c>
      <c r="F157" s="8" t="s">
        <v>139</v>
      </c>
      <c r="G157" s="8">
        <v>0.0</v>
      </c>
      <c r="H157" s="8" t="s">
        <v>140</v>
      </c>
      <c r="I157" s="9">
        <f t="shared" si="128"/>
        <v>0</v>
      </c>
      <c r="K157" s="8" t="s">
        <v>136</v>
      </c>
      <c r="L157" s="8" t="s">
        <v>137</v>
      </c>
      <c r="M157" s="8">
        <v>0.0</v>
      </c>
      <c r="N157" s="8" t="s">
        <v>138</v>
      </c>
      <c r="O157" s="8">
        <v>0.0</v>
      </c>
      <c r="P157" s="8" t="s">
        <v>139</v>
      </c>
      <c r="Q157" s="8">
        <v>0.0</v>
      </c>
      <c r="R157" s="8" t="s">
        <v>140</v>
      </c>
      <c r="S157" s="9">
        <f t="shared" si="130"/>
        <v>0</v>
      </c>
    </row>
    <row r="158">
      <c r="A158" s="8" t="s">
        <v>48</v>
      </c>
      <c r="B158" s="8" t="s">
        <v>141</v>
      </c>
      <c r="C158" s="8">
        <v>0.0</v>
      </c>
      <c r="D158" s="8" t="s">
        <v>142</v>
      </c>
      <c r="E158" s="9">
        <f>SUM(E152:E157)</f>
        <v>150000</v>
      </c>
      <c r="F158" s="8" t="s">
        <v>143</v>
      </c>
      <c r="G158" s="8">
        <v>0.0</v>
      </c>
      <c r="H158" s="8" t="s">
        <v>144</v>
      </c>
      <c r="I158" s="9">
        <f>SUM(I152:I157)</f>
        <v>150000</v>
      </c>
      <c r="K158" s="8" t="s">
        <v>48</v>
      </c>
      <c r="L158" s="8" t="s">
        <v>141</v>
      </c>
      <c r="M158" s="8">
        <f>SUM(M152:M157)</f>
        <v>150000</v>
      </c>
      <c r="N158" s="8" t="s">
        <v>142</v>
      </c>
      <c r="O158" s="8">
        <v>0.0</v>
      </c>
      <c r="P158" s="8" t="s">
        <v>143</v>
      </c>
      <c r="Q158" s="8">
        <v>0.0</v>
      </c>
      <c r="R158" s="8" t="s">
        <v>144</v>
      </c>
      <c r="S158" s="9">
        <f>SUM(S152:S157)</f>
        <v>150000</v>
      </c>
    </row>
    <row r="160">
      <c r="A160" s="55" t="s">
        <v>145</v>
      </c>
    </row>
    <row r="161">
      <c r="B161" s="13">
        <f>F13</f>
        <v>2025</v>
      </c>
      <c r="L161" s="13">
        <f>F13+1</f>
        <v>2026</v>
      </c>
    </row>
    <row r="162">
      <c r="A162" s="9"/>
      <c r="B162" s="52" t="s">
        <v>146</v>
      </c>
      <c r="C162" s="19"/>
      <c r="D162" s="56" t="s">
        <v>147</v>
      </c>
      <c r="E162" s="19"/>
      <c r="F162" s="56" t="s">
        <v>109</v>
      </c>
      <c r="G162" s="19"/>
      <c r="H162" s="54" t="s">
        <v>110</v>
      </c>
      <c r="I162" s="19"/>
      <c r="K162" s="9"/>
      <c r="L162" s="52" t="s">
        <v>146</v>
      </c>
      <c r="M162" s="19"/>
      <c r="N162" s="56" t="s">
        <v>147</v>
      </c>
      <c r="O162" s="19"/>
      <c r="P162" s="56" t="s">
        <v>109</v>
      </c>
      <c r="Q162" s="19"/>
      <c r="R162" s="54" t="s">
        <v>110</v>
      </c>
      <c r="S162" s="19"/>
    </row>
    <row r="163">
      <c r="A163" s="8" t="s">
        <v>148</v>
      </c>
      <c r="B163" s="8" t="s">
        <v>149</v>
      </c>
      <c r="C163" s="8">
        <v>0.0</v>
      </c>
      <c r="D163" s="8" t="s">
        <v>150</v>
      </c>
      <c r="E163" s="8">
        <v>0.0</v>
      </c>
      <c r="F163" s="8" t="s">
        <v>151</v>
      </c>
      <c r="G163" s="8">
        <v>0.0</v>
      </c>
      <c r="H163" s="8" t="s">
        <v>152</v>
      </c>
      <c r="I163" s="9">
        <f t="shared" ref="I163:I168" si="131">C163+E163+G163</f>
        <v>0</v>
      </c>
      <c r="K163" s="8" t="s">
        <v>148</v>
      </c>
      <c r="L163" s="8" t="s">
        <v>149</v>
      </c>
      <c r="M163" s="8">
        <f t="shared" ref="M163:M168" si="132">I163</f>
        <v>0</v>
      </c>
      <c r="N163" s="8" t="s">
        <v>150</v>
      </c>
      <c r="O163" s="8">
        <v>0.0</v>
      </c>
      <c r="P163" s="8" t="s">
        <v>151</v>
      </c>
      <c r="Q163" s="8">
        <v>0.0</v>
      </c>
      <c r="R163" s="8" t="s">
        <v>152</v>
      </c>
      <c r="S163" s="9">
        <f t="shared" ref="S163:S168" si="133">M163+O163+Q163</f>
        <v>0</v>
      </c>
    </row>
    <row r="164">
      <c r="A164" s="8" t="s">
        <v>111</v>
      </c>
      <c r="B164" s="8" t="s">
        <v>153</v>
      </c>
      <c r="C164" s="8">
        <v>0.0</v>
      </c>
      <c r="D164" s="8" t="s">
        <v>154</v>
      </c>
      <c r="E164" s="8">
        <v>0.0</v>
      </c>
      <c r="F164" s="8" t="s">
        <v>155</v>
      </c>
      <c r="G164" s="8">
        <v>0.0</v>
      </c>
      <c r="H164" s="8" t="s">
        <v>156</v>
      </c>
      <c r="I164" s="9">
        <f t="shared" si="131"/>
        <v>0</v>
      </c>
      <c r="K164" s="8" t="s">
        <v>111</v>
      </c>
      <c r="L164" s="8" t="s">
        <v>153</v>
      </c>
      <c r="M164" s="8">
        <f t="shared" si="132"/>
        <v>0</v>
      </c>
      <c r="N164" s="8" t="s">
        <v>154</v>
      </c>
      <c r="O164" s="8">
        <v>0.0</v>
      </c>
      <c r="P164" s="8" t="s">
        <v>155</v>
      </c>
      <c r="Q164" s="8">
        <v>0.0</v>
      </c>
      <c r="R164" s="8" t="s">
        <v>156</v>
      </c>
      <c r="S164" s="9">
        <f t="shared" si="133"/>
        <v>0</v>
      </c>
    </row>
    <row r="165">
      <c r="A165" s="8" t="s">
        <v>116</v>
      </c>
      <c r="B165" s="8" t="s">
        <v>157</v>
      </c>
      <c r="C165" s="8">
        <v>0.0</v>
      </c>
      <c r="D165" s="8" t="s">
        <v>158</v>
      </c>
      <c r="E165" s="9">
        <f t="array" ref="E165">Indirect(ADDRESS(H13,8))</f>
        <v>1762.5</v>
      </c>
      <c r="F165" s="8" t="s">
        <v>159</v>
      </c>
      <c r="G165" s="8">
        <v>0.0</v>
      </c>
      <c r="H165" s="8" t="s">
        <v>160</v>
      </c>
      <c r="I165" s="9">
        <f t="shared" si="131"/>
        <v>1762.5</v>
      </c>
      <c r="K165" s="8" t="s">
        <v>116</v>
      </c>
      <c r="L165" s="8" t="s">
        <v>157</v>
      </c>
      <c r="M165" s="8">
        <f t="shared" si="132"/>
        <v>1762.5</v>
      </c>
      <c r="N165" s="8" t="s">
        <v>158</v>
      </c>
      <c r="O165" s="9">
        <f t="array" ref="O165">Indirect(ADDRESS(H13+1,8))</f>
        <v>1762.5</v>
      </c>
      <c r="P165" s="8" t="s">
        <v>159</v>
      </c>
      <c r="Q165" s="8">
        <v>0.0</v>
      </c>
      <c r="R165" s="8" t="s">
        <v>160</v>
      </c>
      <c r="S165" s="9">
        <f t="shared" si="133"/>
        <v>3525</v>
      </c>
    </row>
    <row r="166">
      <c r="A166" s="8" t="s">
        <v>121</v>
      </c>
      <c r="B166" s="8" t="s">
        <v>161</v>
      </c>
      <c r="C166" s="8">
        <v>0.0</v>
      </c>
      <c r="D166" s="8" t="s">
        <v>162</v>
      </c>
      <c r="E166" s="9">
        <f t="array" ref="E166">Indirect(ADDRESS(H13,4))</f>
        <v>900</v>
      </c>
      <c r="F166" s="8" t="s">
        <v>163</v>
      </c>
      <c r="G166" s="8">
        <v>0.0</v>
      </c>
      <c r="H166" s="8" t="s">
        <v>164</v>
      </c>
      <c r="I166" s="9">
        <f t="shared" si="131"/>
        <v>900</v>
      </c>
      <c r="K166" s="8" t="s">
        <v>121</v>
      </c>
      <c r="L166" s="8" t="s">
        <v>161</v>
      </c>
      <c r="M166" s="8">
        <f t="shared" si="132"/>
        <v>900</v>
      </c>
      <c r="N166" s="8" t="s">
        <v>162</v>
      </c>
      <c r="O166" s="9">
        <f t="array" ref="O166">Indirect(ADDRESS(H13+1,4))</f>
        <v>900</v>
      </c>
      <c r="P166" s="8" t="s">
        <v>163</v>
      </c>
      <c r="Q166" s="8">
        <v>0.0</v>
      </c>
      <c r="R166" s="8" t="s">
        <v>164</v>
      </c>
      <c r="S166" s="9">
        <f t="shared" si="133"/>
        <v>1800</v>
      </c>
    </row>
    <row r="167">
      <c r="A167" s="8" t="s">
        <v>126</v>
      </c>
      <c r="B167" s="8" t="s">
        <v>165</v>
      </c>
      <c r="C167" s="8">
        <v>0.0</v>
      </c>
      <c r="D167" s="8" t="s">
        <v>166</v>
      </c>
      <c r="E167" s="9">
        <f t="array" ref="E167">Indirect(ADDRESS(H13,5))</f>
        <v>1500</v>
      </c>
      <c r="F167" s="8" t="s">
        <v>167</v>
      </c>
      <c r="G167" s="8">
        <v>0.0</v>
      </c>
      <c r="H167" s="8" t="s">
        <v>168</v>
      </c>
      <c r="I167" s="9">
        <f t="shared" si="131"/>
        <v>1500</v>
      </c>
      <c r="K167" s="8" t="s">
        <v>126</v>
      </c>
      <c r="L167" s="8" t="s">
        <v>165</v>
      </c>
      <c r="M167" s="8">
        <f t="shared" si="132"/>
        <v>1500</v>
      </c>
      <c r="N167" s="8" t="s">
        <v>166</v>
      </c>
      <c r="O167" s="9">
        <f t="array" ref="O167">Indirect(ADDRESS(H13+1,5))</f>
        <v>1500</v>
      </c>
      <c r="P167" s="8" t="s">
        <v>167</v>
      </c>
      <c r="Q167" s="8">
        <v>0.0</v>
      </c>
      <c r="R167" s="8" t="s">
        <v>168</v>
      </c>
      <c r="S167" s="9">
        <f t="shared" si="133"/>
        <v>3000</v>
      </c>
    </row>
    <row r="168">
      <c r="A168" s="8" t="s">
        <v>131</v>
      </c>
      <c r="B168" s="8" t="s">
        <v>169</v>
      </c>
      <c r="C168" s="8">
        <v>0.0</v>
      </c>
      <c r="D168" s="8" t="s">
        <v>170</v>
      </c>
      <c r="E168" s="8">
        <f t="array" ref="E168">Indirect(ADDRESS(H13,6))</f>
        <v>0</v>
      </c>
      <c r="F168" s="8" t="s">
        <v>171</v>
      </c>
      <c r="G168" s="8">
        <v>0.0</v>
      </c>
      <c r="H168" s="8" t="s">
        <v>172</v>
      </c>
      <c r="I168" s="9">
        <f t="shared" si="131"/>
        <v>0</v>
      </c>
      <c r="K168" s="8" t="s">
        <v>131</v>
      </c>
      <c r="L168" s="8" t="s">
        <v>169</v>
      </c>
      <c r="M168" s="8">
        <f t="shared" si="132"/>
        <v>0</v>
      </c>
      <c r="N168" s="8" t="s">
        <v>170</v>
      </c>
      <c r="O168" s="9">
        <f t="array" ref="O168">Indirect(ADDRESS(H13+1,6))</f>
        <v>0</v>
      </c>
      <c r="P168" s="8" t="s">
        <v>171</v>
      </c>
      <c r="Q168" s="8">
        <v>0.0</v>
      </c>
      <c r="R168" s="8" t="s">
        <v>172</v>
      </c>
      <c r="S168" s="9">
        <f t="shared" si="133"/>
        <v>0</v>
      </c>
    </row>
    <row r="169">
      <c r="A169" s="8" t="s">
        <v>48</v>
      </c>
      <c r="B169" s="8" t="s">
        <v>173</v>
      </c>
      <c r="C169" s="8">
        <v>0.0</v>
      </c>
      <c r="D169" s="8" t="s">
        <v>174</v>
      </c>
      <c r="E169" s="9">
        <f>SUM(E163:E168)</f>
        <v>4162.5</v>
      </c>
      <c r="F169" s="8" t="s">
        <v>175</v>
      </c>
      <c r="G169" s="8">
        <v>0.0</v>
      </c>
      <c r="H169" s="8" t="s">
        <v>176</v>
      </c>
      <c r="I169" s="9">
        <f>SUM(I163:I168)</f>
        <v>4162.5</v>
      </c>
      <c r="K169" s="8" t="s">
        <v>48</v>
      </c>
      <c r="L169" s="8" t="s">
        <v>173</v>
      </c>
      <c r="M169" s="8">
        <f>SUM(M163:M168)</f>
        <v>4162.5</v>
      </c>
      <c r="N169" s="8" t="s">
        <v>174</v>
      </c>
      <c r="O169" s="9">
        <f>SUM(O163:O168)</f>
        <v>4162.5</v>
      </c>
      <c r="P169" s="8" t="s">
        <v>175</v>
      </c>
      <c r="Q169" s="8">
        <v>0.0</v>
      </c>
      <c r="R169" s="8" t="s">
        <v>176</v>
      </c>
      <c r="S169" s="9">
        <f>SUM(S163:S168)</f>
        <v>8325</v>
      </c>
    </row>
    <row r="172">
      <c r="A172" s="16" t="s">
        <v>177</v>
      </c>
    </row>
    <row r="174">
      <c r="A174" s="57" t="s">
        <v>178</v>
      </c>
    </row>
    <row r="176">
      <c r="A176" s="58" t="s">
        <v>106</v>
      </c>
      <c r="B176" s="59">
        <f>F13</f>
        <v>2025</v>
      </c>
      <c r="E176" s="58" t="s">
        <v>106</v>
      </c>
      <c r="F176" s="59">
        <f>F13+1</f>
        <v>2026</v>
      </c>
    </row>
    <row r="178">
      <c r="A178" s="8" t="s">
        <v>179</v>
      </c>
      <c r="B178" s="8" t="s">
        <v>180</v>
      </c>
      <c r="C178" s="9">
        <f t="shared" ref="C178:C179" si="134">B98</f>
        <v>0</v>
      </c>
      <c r="E178" s="8" t="s">
        <v>179</v>
      </c>
      <c r="F178" s="8" t="s">
        <v>180</v>
      </c>
      <c r="G178" s="9">
        <f t="shared" ref="G178:G179" si="135">E98</f>
        <v>5200</v>
      </c>
    </row>
    <row r="179">
      <c r="A179" s="8" t="s">
        <v>181</v>
      </c>
      <c r="B179" s="8" t="s">
        <v>182</v>
      </c>
      <c r="C179" s="9">
        <f t="shared" si="134"/>
        <v>0</v>
      </c>
      <c r="E179" s="8" t="s">
        <v>181</v>
      </c>
      <c r="F179" s="8" t="s">
        <v>182</v>
      </c>
      <c r="G179" s="9">
        <f t="shared" si="135"/>
        <v>0</v>
      </c>
    </row>
    <row r="180">
      <c r="A180" s="8" t="s">
        <v>183</v>
      </c>
      <c r="B180" s="8" t="s">
        <v>184</v>
      </c>
      <c r="C180" s="9">
        <f>C178-C179</f>
        <v>0</v>
      </c>
      <c r="E180" s="8" t="s">
        <v>183</v>
      </c>
      <c r="F180" s="8" t="s">
        <v>184</v>
      </c>
      <c r="G180" s="9">
        <f>G178-G179</f>
        <v>5200</v>
      </c>
    </row>
    <row r="181">
      <c r="A181" s="8" t="s">
        <v>185</v>
      </c>
      <c r="B181" s="8" t="s">
        <v>186</v>
      </c>
      <c r="C181" s="9">
        <f>B89</f>
        <v>5200</v>
      </c>
      <c r="E181" s="8" t="s">
        <v>185</v>
      </c>
      <c r="F181" s="8" t="s">
        <v>186</v>
      </c>
      <c r="G181" s="9">
        <f>E89</f>
        <v>0</v>
      </c>
    </row>
    <row r="182">
      <c r="A182" s="8" t="s">
        <v>187</v>
      </c>
      <c r="B182" s="8" t="s">
        <v>188</v>
      </c>
      <c r="C182" s="9">
        <f>C180+C181</f>
        <v>5200</v>
      </c>
      <c r="E182" s="8" t="s">
        <v>187</v>
      </c>
      <c r="F182" s="8" t="s">
        <v>188</v>
      </c>
      <c r="G182" s="9">
        <f>G180+G181</f>
        <v>5200</v>
      </c>
    </row>
  </sheetData>
  <mergeCells count="40">
    <mergeCell ref="C109:D109"/>
    <mergeCell ref="E109:F109"/>
    <mergeCell ref="K109:L109"/>
    <mergeCell ref="M109:N109"/>
    <mergeCell ref="A110:A112"/>
    <mergeCell ref="I110:I112"/>
    <mergeCell ref="I113:I115"/>
    <mergeCell ref="J130:K138"/>
    <mergeCell ref="H139:K139"/>
    <mergeCell ref="I116:J116"/>
    <mergeCell ref="C117:F117"/>
    <mergeCell ref="K117:N117"/>
    <mergeCell ref="L118:N124"/>
    <mergeCell ref="J119:K119"/>
    <mergeCell ref="J121:K121"/>
    <mergeCell ref="H129:K129"/>
    <mergeCell ref="P151:Q151"/>
    <mergeCell ref="R151:S151"/>
    <mergeCell ref="B139:E139"/>
    <mergeCell ref="B151:C151"/>
    <mergeCell ref="D151:E151"/>
    <mergeCell ref="F151:G151"/>
    <mergeCell ref="H151:I151"/>
    <mergeCell ref="L151:M151"/>
    <mergeCell ref="N151:O151"/>
    <mergeCell ref="B162:C162"/>
    <mergeCell ref="D162:E162"/>
    <mergeCell ref="F162:G162"/>
    <mergeCell ref="H162:I162"/>
    <mergeCell ref="L162:M162"/>
    <mergeCell ref="N162:O162"/>
    <mergeCell ref="P162:Q162"/>
    <mergeCell ref="R162:S162"/>
    <mergeCell ref="A113:A115"/>
    <mergeCell ref="A116:B116"/>
    <mergeCell ref="D118:F124"/>
    <mergeCell ref="B119:C119"/>
    <mergeCell ref="B121:C121"/>
    <mergeCell ref="B129:E129"/>
    <mergeCell ref="D130:E1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21.75"/>
    <col customWidth="1" min="4" max="4" width="26.88"/>
    <col customWidth="1" min="5" max="5" width="19.25"/>
    <col customWidth="1" min="7" max="7" width="27.38"/>
    <col customWidth="1" min="10" max="10" width="20.38"/>
  </cols>
  <sheetData>
    <row r="1">
      <c r="A1" s="7" t="s">
        <v>255</v>
      </c>
      <c r="D1" s="4" t="s">
        <v>2</v>
      </c>
    </row>
    <row r="4">
      <c r="A4" s="60" t="s">
        <v>190</v>
      </c>
      <c r="B4" s="10">
        <v>150000.0</v>
      </c>
    </row>
    <row r="5">
      <c r="A5" s="60" t="s">
        <v>191</v>
      </c>
      <c r="B5" s="61">
        <f t="shared" ref="B5:B8" si="1">0</f>
        <v>0</v>
      </c>
    </row>
    <row r="6">
      <c r="A6" s="60" t="s">
        <v>192</v>
      </c>
      <c r="B6" s="61">
        <f t="shared" si="1"/>
        <v>0</v>
      </c>
    </row>
    <row r="7">
      <c r="A7" s="8" t="s">
        <v>193</v>
      </c>
      <c r="B7" s="61">
        <f t="shared" si="1"/>
        <v>0</v>
      </c>
    </row>
    <row r="8">
      <c r="A8" s="8" t="s">
        <v>194</v>
      </c>
      <c r="B8" s="11">
        <f t="shared" si="1"/>
        <v>0</v>
      </c>
    </row>
    <row r="9">
      <c r="A9" s="62" t="s">
        <v>195</v>
      </c>
      <c r="B9" s="63">
        <f>IF(B4&gt;0,SUM(B4:B6),IF(E4&gt;0,E4,0))</f>
        <v>150000</v>
      </c>
    </row>
    <row r="11">
      <c r="A11" s="7" t="s">
        <v>196</v>
      </c>
    </row>
    <row r="12">
      <c r="A12" s="64" t="s">
        <v>197</v>
      </c>
      <c r="B12" s="65">
        <v>45658.0</v>
      </c>
    </row>
    <row r="13">
      <c r="A13" s="64" t="s">
        <v>198</v>
      </c>
      <c r="B13" s="66">
        <f>YEAR(B12)</f>
        <v>2025</v>
      </c>
      <c r="E13" s="4" t="s">
        <v>199</v>
      </c>
      <c r="F13" s="13">
        <f>YEAR(TODAY())-1</f>
        <v>2025</v>
      </c>
      <c r="H13" s="4">
        <f>F13-B13+26</f>
        <v>26</v>
      </c>
    </row>
    <row r="14">
      <c r="A14" s="64" t="s">
        <v>200</v>
      </c>
      <c r="B14" s="66">
        <f>YEARFRAC(B12,DATE(YEAR(B12)+1,1,1),4)</f>
        <v>1</v>
      </c>
      <c r="AD14" s="55" t="s">
        <v>201</v>
      </c>
      <c r="AE14" s="4" t="s">
        <v>202</v>
      </c>
      <c r="AF14" s="4" t="s">
        <v>203</v>
      </c>
      <c r="AG14" s="4" t="s">
        <v>204</v>
      </c>
      <c r="AH14" s="4" t="s">
        <v>205</v>
      </c>
    </row>
    <row r="15">
      <c r="A15" s="4" t="s">
        <v>206</v>
      </c>
      <c r="B15" s="67">
        <f>15%</f>
        <v>0.15</v>
      </c>
      <c r="AD15" s="4" t="s">
        <v>207</v>
      </c>
      <c r="AE15" s="4">
        <v>0.0</v>
      </c>
      <c r="AF15" s="68">
        <v>45809.0</v>
      </c>
      <c r="AG15" s="4">
        <v>10.0</v>
      </c>
      <c r="AH15" s="13">
        <f t="shared" ref="AH15:AH24" si="2">YEARFRAC(AF15,DATE(YEAR(AF15)+1,1,1),4)</f>
        <v>0.5833333333</v>
      </c>
    </row>
    <row r="16">
      <c r="A16" s="4" t="s">
        <v>208</v>
      </c>
      <c r="B16" s="67">
        <f>40%</f>
        <v>0.4</v>
      </c>
      <c r="C16" s="4" t="s">
        <v>209</v>
      </c>
      <c r="D16" s="4">
        <v>50.0</v>
      </c>
      <c r="E16" s="4" t="s">
        <v>210</v>
      </c>
      <c r="AD16" s="4" t="s">
        <v>211</v>
      </c>
      <c r="AE16" s="4">
        <v>0.0</v>
      </c>
      <c r="AF16" s="68">
        <v>46174.0</v>
      </c>
      <c r="AG16" s="4">
        <v>10.0</v>
      </c>
      <c r="AH16" s="13">
        <f t="shared" si="2"/>
        <v>0.5833333333</v>
      </c>
    </row>
    <row r="17">
      <c r="A17" s="4" t="s">
        <v>212</v>
      </c>
      <c r="B17" s="67">
        <f t="shared" ref="B17:B19" si="3">15%</f>
        <v>0.15</v>
      </c>
      <c r="C17" s="4" t="s">
        <v>209</v>
      </c>
      <c r="D17" s="4">
        <v>40.0</v>
      </c>
      <c r="E17" s="4" t="s">
        <v>210</v>
      </c>
      <c r="AD17" s="4" t="s">
        <v>213</v>
      </c>
      <c r="AE17" s="4">
        <v>0.0</v>
      </c>
      <c r="AF17" s="68">
        <v>46539.0</v>
      </c>
      <c r="AG17" s="4">
        <v>10.0</v>
      </c>
      <c r="AH17" s="13">
        <f t="shared" si="2"/>
        <v>0.5833333333</v>
      </c>
    </row>
    <row r="18">
      <c r="A18" s="4" t="s">
        <v>214</v>
      </c>
      <c r="B18" s="67">
        <f t="shared" si="3"/>
        <v>0.15</v>
      </c>
      <c r="C18" s="4" t="s">
        <v>209</v>
      </c>
      <c r="D18" s="4">
        <v>25.0</v>
      </c>
      <c r="E18" s="4" t="s">
        <v>210</v>
      </c>
      <c r="AD18" s="4" t="s">
        <v>215</v>
      </c>
      <c r="AE18" s="4">
        <v>0.0</v>
      </c>
      <c r="AF18" s="68">
        <v>46905.0</v>
      </c>
      <c r="AG18" s="4">
        <v>10.0</v>
      </c>
      <c r="AH18" s="13">
        <f t="shared" si="2"/>
        <v>0.5833333333</v>
      </c>
    </row>
    <row r="19">
      <c r="A19" s="69" t="s">
        <v>216</v>
      </c>
      <c r="B19" s="67">
        <f t="shared" si="3"/>
        <v>0.15</v>
      </c>
      <c r="C19" s="4" t="s">
        <v>209</v>
      </c>
      <c r="D19" s="4">
        <v>15.0</v>
      </c>
      <c r="E19" s="4" t="s">
        <v>210</v>
      </c>
      <c r="AD19" s="4" t="s">
        <v>217</v>
      </c>
      <c r="AE19" s="4">
        <v>0.0</v>
      </c>
      <c r="AF19" s="68">
        <v>47270.0</v>
      </c>
      <c r="AG19" s="4">
        <v>10.0</v>
      </c>
      <c r="AH19" s="13">
        <f t="shared" si="2"/>
        <v>0.5833333333</v>
      </c>
    </row>
    <row r="20">
      <c r="A20" s="4" t="s">
        <v>218</v>
      </c>
      <c r="B20" s="13">
        <f>B7+B8</f>
        <v>0</v>
      </c>
      <c r="D20" s="4">
        <v>10.0</v>
      </c>
      <c r="E20" s="4" t="s">
        <v>210</v>
      </c>
      <c r="AD20" s="4" t="s">
        <v>219</v>
      </c>
      <c r="AE20" s="4">
        <v>0.0</v>
      </c>
      <c r="AF20" s="68">
        <v>47635.0</v>
      </c>
      <c r="AG20" s="4">
        <v>10.0</v>
      </c>
      <c r="AH20" s="13">
        <f t="shared" si="2"/>
        <v>0.5833333333</v>
      </c>
    </row>
    <row r="21">
      <c r="A21" s="70" t="s">
        <v>191</v>
      </c>
      <c r="B21" s="71">
        <f t="shared" ref="B21:B22" si="4">B5</f>
        <v>0</v>
      </c>
      <c r="C21" s="71"/>
      <c r="D21" s="70">
        <v>0.0</v>
      </c>
      <c r="E21" s="71"/>
      <c r="AD21" s="4" t="s">
        <v>220</v>
      </c>
      <c r="AE21" s="4">
        <v>0.0</v>
      </c>
      <c r="AF21" s="68">
        <v>48000.0</v>
      </c>
      <c r="AG21" s="4">
        <v>10.0</v>
      </c>
      <c r="AH21" s="13">
        <f t="shared" si="2"/>
        <v>0.5833333333</v>
      </c>
    </row>
    <row r="22">
      <c r="A22" s="4" t="s">
        <v>221</v>
      </c>
      <c r="B22" s="13">
        <f t="shared" si="4"/>
        <v>0</v>
      </c>
      <c r="D22" s="4">
        <v>0.0</v>
      </c>
      <c r="AD22" s="4" t="s">
        <v>222</v>
      </c>
      <c r="AE22" s="4">
        <v>0.0</v>
      </c>
      <c r="AF22" s="68">
        <v>48000.0</v>
      </c>
      <c r="AG22" s="4">
        <v>10.0</v>
      </c>
      <c r="AH22" s="13">
        <f t="shared" si="2"/>
        <v>0.5833333333</v>
      </c>
    </row>
    <row r="23">
      <c r="AD23" s="4" t="s">
        <v>223</v>
      </c>
      <c r="AE23" s="4">
        <v>0.0</v>
      </c>
      <c r="AF23" s="68">
        <v>48000.0</v>
      </c>
      <c r="AG23" s="4">
        <v>10.0</v>
      </c>
      <c r="AH23" s="13">
        <f t="shared" si="2"/>
        <v>0.5833333333</v>
      </c>
    </row>
    <row r="24">
      <c r="A24" s="72"/>
      <c r="B24" s="72"/>
      <c r="C24" s="73" t="s">
        <v>224</v>
      </c>
      <c r="D24" s="72"/>
      <c r="E24" s="72"/>
      <c r="F24" s="72"/>
      <c r="G24" s="72"/>
      <c r="H24" s="72"/>
      <c r="I24" s="74"/>
      <c r="J24" s="74"/>
      <c r="K24" s="75" t="s">
        <v>225</v>
      </c>
      <c r="L24" s="74"/>
      <c r="M24" s="74"/>
      <c r="N24" s="74"/>
      <c r="O24" s="74"/>
      <c r="P24" s="76"/>
      <c r="Q24" s="77" t="s">
        <v>226</v>
      </c>
      <c r="R24" s="76"/>
      <c r="S24" s="76"/>
      <c r="T24" s="76"/>
      <c r="U24" s="76"/>
      <c r="V24" s="78"/>
      <c r="W24" s="79" t="s">
        <v>227</v>
      </c>
      <c r="X24" s="78"/>
      <c r="Y24" s="78"/>
      <c r="Z24" s="78"/>
      <c r="AA24" s="78"/>
      <c r="AB24" s="78"/>
      <c r="AD24" s="4" t="s">
        <v>228</v>
      </c>
      <c r="AE24" s="4">
        <v>0.0</v>
      </c>
      <c r="AF24" s="68">
        <v>48000.0</v>
      </c>
      <c r="AG24" s="4">
        <v>10.0</v>
      </c>
      <c r="AH24" s="13">
        <f t="shared" si="2"/>
        <v>0.5833333333</v>
      </c>
    </row>
    <row r="25">
      <c r="A25" s="4" t="s">
        <v>106</v>
      </c>
      <c r="B25" s="4" t="s">
        <v>229</v>
      </c>
      <c r="C25" s="4" t="s">
        <v>230</v>
      </c>
      <c r="D25" s="4" t="s">
        <v>231</v>
      </c>
      <c r="E25" s="4" t="s">
        <v>232</v>
      </c>
      <c r="F25" s="69" t="s">
        <v>131</v>
      </c>
      <c r="G25" s="69" t="s">
        <v>233</v>
      </c>
      <c r="H25" s="4" t="s">
        <v>234</v>
      </c>
      <c r="I25" s="4" t="s">
        <v>234</v>
      </c>
      <c r="J25" s="69" t="s">
        <v>235</v>
      </c>
      <c r="K25" s="69" t="s">
        <v>236</v>
      </c>
      <c r="L25" s="69" t="s">
        <v>131</v>
      </c>
      <c r="N25" s="4" t="s">
        <v>206</v>
      </c>
      <c r="O25" s="4" t="s">
        <v>48</v>
      </c>
      <c r="P25" s="4" t="s">
        <v>234</v>
      </c>
      <c r="Q25" s="4" t="s">
        <v>206</v>
      </c>
      <c r="R25" s="4" t="s">
        <v>231</v>
      </c>
      <c r="S25" s="4" t="s">
        <v>232</v>
      </c>
      <c r="T25" s="4" t="s">
        <v>131</v>
      </c>
      <c r="U25" s="4" t="s">
        <v>48</v>
      </c>
      <c r="V25" s="4" t="s">
        <v>234</v>
      </c>
      <c r="W25" s="4" t="s">
        <v>206</v>
      </c>
      <c r="X25" s="4" t="s">
        <v>231</v>
      </c>
      <c r="Y25" s="4" t="s">
        <v>232</v>
      </c>
      <c r="Z25" s="4" t="s">
        <v>131</v>
      </c>
      <c r="AB25" s="4" t="s">
        <v>48</v>
      </c>
      <c r="AC25" s="4"/>
      <c r="AD25" s="4"/>
      <c r="AE25" s="4"/>
      <c r="AF25" s="4"/>
      <c r="AG25" s="4"/>
      <c r="AH25" s="4"/>
    </row>
    <row r="26">
      <c r="A26" s="4">
        <v>2025.0</v>
      </c>
      <c r="B26" s="13">
        <f>IF(A26&lt;$B$13+$D$16,$B$16*$B$9/$D$16,0)*B14</f>
        <v>1200</v>
      </c>
      <c r="C26" s="13">
        <f>IF(A26&lt;$B$13+$D17,$B$17*$B$9/$D$17,0)*B14</f>
        <v>562.5</v>
      </c>
      <c r="D26" s="13">
        <f>IF(A26&lt;$B$13+$D18,$B$18*$B$9/$D$18,0)*B14</f>
        <v>900</v>
      </c>
      <c r="E26" s="13">
        <f>IF(A26&lt;$B$13+$D$19,$B$19*$B$9/$D$19,0)*B14</f>
        <v>1500</v>
      </c>
      <c r="F26" s="13">
        <f>(IF(A26&lt;$B$13+$D$20,$B$20/$D$20,0)*B14)</f>
        <v>0</v>
      </c>
      <c r="G26" s="13">
        <f t="shared" ref="G26:G76" si="6">SUM(B26:F26)</f>
        <v>4162.5</v>
      </c>
      <c r="H26" s="13">
        <f t="shared" ref="H26:H76" si="7">B26+C26</f>
        <v>1762.5</v>
      </c>
      <c r="I26" s="13">
        <f t="shared" ref="I26:I76" si="8">$B$9*($B$16+$B$17)-V26</f>
        <v>80737.5</v>
      </c>
      <c r="J26" s="80">
        <f t="shared" ref="J26:J76" si="9">$B$9*($B$18)-X26</f>
        <v>21600</v>
      </c>
      <c r="K26" s="13">
        <f t="shared" ref="K26:K76" si="10">$B$9*($B$19)-Y26</f>
        <v>21000</v>
      </c>
      <c r="L26" s="13">
        <f t="shared" ref="L26:L76" si="11">$B$20-Z26+AJ26</f>
        <v>0</v>
      </c>
      <c r="N26" s="13">
        <f t="shared" ref="N26:N76" si="12">$B$9*$B$15</f>
        <v>22500</v>
      </c>
      <c r="O26" s="13">
        <f t="shared" ref="O26:O76" si="13">SUM(I26:N26)</f>
        <v>145837.5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13">
        <f t="shared" ref="V26:V76" si="15">P26+H26</f>
        <v>1762.5</v>
      </c>
      <c r="W26" s="4">
        <v>0.0</v>
      </c>
      <c r="X26" s="13">
        <f t="shared" ref="X26:Z26" si="5">R26+D26</f>
        <v>900</v>
      </c>
      <c r="Y26" s="13">
        <f t="shared" si="5"/>
        <v>1500</v>
      </c>
      <c r="Z26" s="13">
        <f t="shared" si="5"/>
        <v>0</v>
      </c>
      <c r="AB26" s="13">
        <f t="shared" ref="AB26:AB76" si="17">SUM(V26:AA26)</f>
        <v>4162.5</v>
      </c>
    </row>
    <row r="27">
      <c r="A27" s="4">
        <v>2026.0</v>
      </c>
      <c r="B27" s="13">
        <f t="shared" ref="B27:B76" si="18">IF(A27=$B$13+$D$16,($B$16*$B$9/$D$16)*(1-$B$14),IF(A27&lt;$B$13+$D$16,$B$16*$B$9/$D$16,0))</f>
        <v>1200</v>
      </c>
      <c r="C27" s="13">
        <f t="shared" ref="C27:C76" si="19">IF(A27=$B$13+$D$17,($B$17*$B$9/$D$17)*(1-$B$14),IF(A27&lt;$B$13+$D$17,$B$17*$B$9/$D$17,0))</f>
        <v>562.5</v>
      </c>
      <c r="D27" s="13">
        <f t="shared" ref="D27:D76" si="20">IF(A27=$B$13+$D$18,($B$18*$B$9/$D$18)*(1-$B$14),IF(A27&lt;$B$13+$D$18,$B$18*$B$9/$D$18,0))</f>
        <v>900</v>
      </c>
      <c r="E27" s="13">
        <f t="shared" ref="E27:E76" si="21">IF(A27=$B$13+$D$19,($B$19*$B$9/$D$19)*(1-$B$14),IF(A27&lt;$B$13+$D$19,$B$19*$B$9/$D$19,0))</f>
        <v>1500</v>
      </c>
      <c r="F27" s="13">
        <f t="shared" ref="F27:F76" si="22">IF(A27=$B$13+$D$20,($B$20/$D$20)*(1-$B$14),IF(A27&lt;$B$13+$D$20,$B$20/$D$20,0))</f>
        <v>0</v>
      </c>
      <c r="G27" s="13">
        <f t="shared" si="6"/>
        <v>4162.5</v>
      </c>
      <c r="H27" s="13">
        <f t="shared" si="7"/>
        <v>1762.5</v>
      </c>
      <c r="I27" s="13">
        <f t="shared" si="8"/>
        <v>78975</v>
      </c>
      <c r="J27" s="80">
        <f t="shared" si="9"/>
        <v>20700</v>
      </c>
      <c r="K27" s="13">
        <f t="shared" si="10"/>
        <v>19500</v>
      </c>
      <c r="L27" s="13">
        <f t="shared" si="11"/>
        <v>0</v>
      </c>
      <c r="N27" s="13">
        <f t="shared" si="12"/>
        <v>22500</v>
      </c>
      <c r="O27" s="13">
        <f t="shared" si="13"/>
        <v>141675</v>
      </c>
      <c r="P27" s="13">
        <f t="shared" ref="P27:P76" si="23">V26</f>
        <v>1762.5</v>
      </c>
      <c r="Q27" s="4">
        <v>0.0</v>
      </c>
      <c r="R27" s="13">
        <f t="shared" ref="R27:T27" si="14">X26</f>
        <v>900</v>
      </c>
      <c r="S27" s="13">
        <f t="shared" si="14"/>
        <v>1500</v>
      </c>
      <c r="T27" s="13">
        <f t="shared" si="14"/>
        <v>0</v>
      </c>
      <c r="U27" s="13">
        <f t="shared" ref="U27:U76" si="25">AB26</f>
        <v>4162.5</v>
      </c>
      <c r="V27" s="13">
        <f t="shared" si="15"/>
        <v>3525</v>
      </c>
      <c r="W27" s="4">
        <v>0.0</v>
      </c>
      <c r="X27" s="13">
        <f t="shared" ref="X27:Z27" si="16">R27+D27</f>
        <v>1800</v>
      </c>
      <c r="Y27" s="13">
        <f t="shared" si="16"/>
        <v>3000</v>
      </c>
      <c r="Z27" s="13">
        <f t="shared" si="16"/>
        <v>0</v>
      </c>
      <c r="AB27" s="13">
        <f t="shared" si="17"/>
        <v>8325</v>
      </c>
    </row>
    <row r="28">
      <c r="A28" s="13">
        <f t="shared" ref="A28:A76" si="27">A27+1</f>
        <v>2027</v>
      </c>
      <c r="B28" s="13">
        <f t="shared" si="18"/>
        <v>1200</v>
      </c>
      <c r="C28" s="13">
        <f t="shared" si="19"/>
        <v>562.5</v>
      </c>
      <c r="D28" s="13">
        <f t="shared" si="20"/>
        <v>900</v>
      </c>
      <c r="E28" s="13">
        <f t="shared" si="21"/>
        <v>1500</v>
      </c>
      <c r="F28" s="13">
        <f t="shared" si="22"/>
        <v>0</v>
      </c>
      <c r="G28" s="13">
        <f t="shared" si="6"/>
        <v>4162.5</v>
      </c>
      <c r="H28" s="13">
        <f t="shared" si="7"/>
        <v>1762.5</v>
      </c>
      <c r="I28" s="13">
        <f t="shared" si="8"/>
        <v>77212.5</v>
      </c>
      <c r="J28" s="80">
        <f t="shared" si="9"/>
        <v>19800</v>
      </c>
      <c r="K28" s="13">
        <f t="shared" si="10"/>
        <v>18000</v>
      </c>
      <c r="L28" s="13">
        <f t="shared" si="11"/>
        <v>0</v>
      </c>
      <c r="N28" s="13">
        <f t="shared" si="12"/>
        <v>22500</v>
      </c>
      <c r="O28" s="13">
        <f t="shared" si="13"/>
        <v>137512.5</v>
      </c>
      <c r="P28" s="13">
        <f t="shared" si="23"/>
        <v>3525</v>
      </c>
      <c r="Q28" s="4">
        <v>0.0</v>
      </c>
      <c r="R28" s="13">
        <f t="shared" ref="R28:T28" si="24">X27</f>
        <v>1800</v>
      </c>
      <c r="S28" s="13">
        <f t="shared" si="24"/>
        <v>3000</v>
      </c>
      <c r="T28" s="13">
        <f t="shared" si="24"/>
        <v>0</v>
      </c>
      <c r="U28" s="13">
        <f t="shared" si="25"/>
        <v>8325</v>
      </c>
      <c r="V28" s="13">
        <f t="shared" si="15"/>
        <v>5287.5</v>
      </c>
      <c r="W28" s="4">
        <v>0.0</v>
      </c>
      <c r="X28" s="13">
        <f t="shared" ref="X28:Z28" si="26">R28+D28</f>
        <v>2700</v>
      </c>
      <c r="Y28" s="13">
        <f t="shared" si="26"/>
        <v>4500</v>
      </c>
      <c r="Z28" s="13">
        <f t="shared" si="26"/>
        <v>0</v>
      </c>
      <c r="AB28" s="13">
        <f t="shared" si="17"/>
        <v>12487.5</v>
      </c>
    </row>
    <row r="29">
      <c r="A29" s="13">
        <f t="shared" si="27"/>
        <v>2028</v>
      </c>
      <c r="B29" s="13">
        <f t="shared" si="18"/>
        <v>1200</v>
      </c>
      <c r="C29" s="13">
        <f t="shared" si="19"/>
        <v>562.5</v>
      </c>
      <c r="D29" s="13">
        <f t="shared" si="20"/>
        <v>900</v>
      </c>
      <c r="E29" s="13">
        <f t="shared" si="21"/>
        <v>1500</v>
      </c>
      <c r="F29" s="13">
        <f t="shared" si="22"/>
        <v>0</v>
      </c>
      <c r="G29" s="13">
        <f t="shared" si="6"/>
        <v>4162.5</v>
      </c>
      <c r="H29" s="13">
        <f t="shared" si="7"/>
        <v>1762.5</v>
      </c>
      <c r="I29" s="13">
        <f t="shared" si="8"/>
        <v>75450</v>
      </c>
      <c r="J29" s="80">
        <f t="shared" si="9"/>
        <v>18900</v>
      </c>
      <c r="K29" s="13">
        <f t="shared" si="10"/>
        <v>16500</v>
      </c>
      <c r="L29" s="13">
        <f t="shared" si="11"/>
        <v>0</v>
      </c>
      <c r="N29" s="13">
        <f t="shared" si="12"/>
        <v>22500</v>
      </c>
      <c r="O29" s="13">
        <f t="shared" si="13"/>
        <v>133350</v>
      </c>
      <c r="P29" s="13">
        <f t="shared" si="23"/>
        <v>5287.5</v>
      </c>
      <c r="Q29" s="4">
        <v>0.0</v>
      </c>
      <c r="R29" s="13">
        <f t="shared" ref="R29:T29" si="28">X28</f>
        <v>2700</v>
      </c>
      <c r="S29" s="13">
        <f t="shared" si="28"/>
        <v>4500</v>
      </c>
      <c r="T29" s="13">
        <f t="shared" si="28"/>
        <v>0</v>
      </c>
      <c r="U29" s="13">
        <f t="shared" si="25"/>
        <v>12487.5</v>
      </c>
      <c r="V29" s="13">
        <f t="shared" si="15"/>
        <v>7050</v>
      </c>
      <c r="W29" s="4">
        <v>0.0</v>
      </c>
      <c r="X29" s="13">
        <f t="shared" ref="X29:Z29" si="29">R29+D29</f>
        <v>3600</v>
      </c>
      <c r="Y29" s="13">
        <f t="shared" si="29"/>
        <v>6000</v>
      </c>
      <c r="Z29" s="13">
        <f t="shared" si="29"/>
        <v>0</v>
      </c>
      <c r="AB29" s="13">
        <f t="shared" si="17"/>
        <v>16650</v>
      </c>
    </row>
    <row r="30">
      <c r="A30" s="13">
        <f t="shared" si="27"/>
        <v>2029</v>
      </c>
      <c r="B30" s="13">
        <f t="shared" si="18"/>
        <v>1200</v>
      </c>
      <c r="C30" s="13">
        <f t="shared" si="19"/>
        <v>562.5</v>
      </c>
      <c r="D30" s="13">
        <f t="shared" si="20"/>
        <v>900</v>
      </c>
      <c r="E30" s="13">
        <f t="shared" si="21"/>
        <v>1500</v>
      </c>
      <c r="F30" s="13">
        <f t="shared" si="22"/>
        <v>0</v>
      </c>
      <c r="G30" s="13">
        <f t="shared" si="6"/>
        <v>4162.5</v>
      </c>
      <c r="H30" s="13">
        <f t="shared" si="7"/>
        <v>1762.5</v>
      </c>
      <c r="I30" s="13">
        <f t="shared" si="8"/>
        <v>73687.5</v>
      </c>
      <c r="J30" s="80">
        <f t="shared" si="9"/>
        <v>18000</v>
      </c>
      <c r="K30" s="13">
        <f t="shared" si="10"/>
        <v>15000</v>
      </c>
      <c r="L30" s="13">
        <f t="shared" si="11"/>
        <v>0</v>
      </c>
      <c r="N30" s="13">
        <f t="shared" si="12"/>
        <v>22500</v>
      </c>
      <c r="O30" s="13">
        <f t="shared" si="13"/>
        <v>129187.5</v>
      </c>
      <c r="P30" s="13">
        <f t="shared" si="23"/>
        <v>7050</v>
      </c>
      <c r="Q30" s="4">
        <v>0.0</v>
      </c>
      <c r="R30" s="13">
        <f t="shared" ref="R30:T30" si="30">X29</f>
        <v>3600</v>
      </c>
      <c r="S30" s="13">
        <f t="shared" si="30"/>
        <v>6000</v>
      </c>
      <c r="T30" s="13">
        <f t="shared" si="30"/>
        <v>0</v>
      </c>
      <c r="U30" s="13">
        <f t="shared" si="25"/>
        <v>16650</v>
      </c>
      <c r="V30" s="13">
        <f t="shared" si="15"/>
        <v>8812.5</v>
      </c>
      <c r="W30" s="4">
        <v>0.0</v>
      </c>
      <c r="X30" s="13">
        <f t="shared" ref="X30:Z30" si="31">R30+D30</f>
        <v>4500</v>
      </c>
      <c r="Y30" s="13">
        <f t="shared" si="31"/>
        <v>7500</v>
      </c>
      <c r="Z30" s="13">
        <f t="shared" si="31"/>
        <v>0</v>
      </c>
      <c r="AB30" s="13">
        <f t="shared" si="17"/>
        <v>20812.5</v>
      </c>
    </row>
    <row r="31">
      <c r="A31" s="13">
        <f t="shared" si="27"/>
        <v>2030</v>
      </c>
      <c r="B31" s="13">
        <f t="shared" si="18"/>
        <v>1200</v>
      </c>
      <c r="C31" s="13">
        <f t="shared" si="19"/>
        <v>562.5</v>
      </c>
      <c r="D31" s="13">
        <f t="shared" si="20"/>
        <v>900</v>
      </c>
      <c r="E31" s="13">
        <f t="shared" si="21"/>
        <v>1500</v>
      </c>
      <c r="F31" s="13">
        <f t="shared" si="22"/>
        <v>0</v>
      </c>
      <c r="G31" s="13">
        <f t="shared" si="6"/>
        <v>4162.5</v>
      </c>
      <c r="H31" s="13">
        <f t="shared" si="7"/>
        <v>1762.5</v>
      </c>
      <c r="I31" s="13">
        <f t="shared" si="8"/>
        <v>71925</v>
      </c>
      <c r="J31" s="80">
        <f t="shared" si="9"/>
        <v>17100</v>
      </c>
      <c r="K31" s="13">
        <f t="shared" si="10"/>
        <v>13500</v>
      </c>
      <c r="L31" s="13">
        <f t="shared" si="11"/>
        <v>0</v>
      </c>
      <c r="N31" s="13">
        <f t="shared" si="12"/>
        <v>22500</v>
      </c>
      <c r="O31" s="13">
        <f t="shared" si="13"/>
        <v>125025</v>
      </c>
      <c r="P31" s="13">
        <f t="shared" si="23"/>
        <v>8812.5</v>
      </c>
      <c r="Q31" s="4">
        <v>0.0</v>
      </c>
      <c r="R31" s="13">
        <f t="shared" ref="R31:T31" si="32">X30</f>
        <v>4500</v>
      </c>
      <c r="S31" s="13">
        <f t="shared" si="32"/>
        <v>7500</v>
      </c>
      <c r="T31" s="13">
        <f t="shared" si="32"/>
        <v>0</v>
      </c>
      <c r="U31" s="13">
        <f t="shared" si="25"/>
        <v>20812.5</v>
      </c>
      <c r="V31" s="13">
        <f t="shared" si="15"/>
        <v>10575</v>
      </c>
      <c r="W31" s="4">
        <v>0.0</v>
      </c>
      <c r="X31" s="13">
        <f t="shared" ref="X31:Z31" si="33">R31+D31</f>
        <v>5400</v>
      </c>
      <c r="Y31" s="13">
        <f t="shared" si="33"/>
        <v>9000</v>
      </c>
      <c r="Z31" s="13">
        <f t="shared" si="33"/>
        <v>0</v>
      </c>
      <c r="AB31" s="13">
        <f t="shared" si="17"/>
        <v>24975</v>
      </c>
    </row>
    <row r="32">
      <c r="A32" s="13">
        <f t="shared" si="27"/>
        <v>2031</v>
      </c>
      <c r="B32" s="13">
        <f t="shared" si="18"/>
        <v>1200</v>
      </c>
      <c r="C32" s="13">
        <f t="shared" si="19"/>
        <v>562.5</v>
      </c>
      <c r="D32" s="13">
        <f t="shared" si="20"/>
        <v>900</v>
      </c>
      <c r="E32" s="13">
        <f t="shared" si="21"/>
        <v>1500</v>
      </c>
      <c r="F32" s="13">
        <f t="shared" si="22"/>
        <v>0</v>
      </c>
      <c r="G32" s="13">
        <f t="shared" si="6"/>
        <v>4162.5</v>
      </c>
      <c r="H32" s="13">
        <f t="shared" si="7"/>
        <v>1762.5</v>
      </c>
      <c r="I32" s="13">
        <f t="shared" si="8"/>
        <v>70162.5</v>
      </c>
      <c r="J32" s="80">
        <f t="shared" si="9"/>
        <v>16200</v>
      </c>
      <c r="K32" s="13">
        <f t="shared" si="10"/>
        <v>12000</v>
      </c>
      <c r="L32" s="13">
        <f t="shared" si="11"/>
        <v>0</v>
      </c>
      <c r="N32" s="13">
        <f t="shared" si="12"/>
        <v>22500</v>
      </c>
      <c r="O32" s="13">
        <f t="shared" si="13"/>
        <v>120862.5</v>
      </c>
      <c r="P32" s="13">
        <f t="shared" si="23"/>
        <v>10575</v>
      </c>
      <c r="Q32" s="4">
        <v>0.0</v>
      </c>
      <c r="R32" s="13">
        <f t="shared" ref="R32:T32" si="34">X31</f>
        <v>5400</v>
      </c>
      <c r="S32" s="13">
        <f t="shared" si="34"/>
        <v>9000</v>
      </c>
      <c r="T32" s="13">
        <f t="shared" si="34"/>
        <v>0</v>
      </c>
      <c r="U32" s="13">
        <f t="shared" si="25"/>
        <v>24975</v>
      </c>
      <c r="V32" s="13">
        <f t="shared" si="15"/>
        <v>12337.5</v>
      </c>
      <c r="W32" s="4">
        <v>0.0</v>
      </c>
      <c r="X32" s="13">
        <f t="shared" ref="X32:Z32" si="35">R32+D32</f>
        <v>6300</v>
      </c>
      <c r="Y32" s="13">
        <f t="shared" si="35"/>
        <v>10500</v>
      </c>
      <c r="Z32" s="13">
        <f t="shared" si="35"/>
        <v>0</v>
      </c>
      <c r="AB32" s="13">
        <f t="shared" si="17"/>
        <v>29137.5</v>
      </c>
    </row>
    <row r="33">
      <c r="A33" s="13">
        <f t="shared" si="27"/>
        <v>2032</v>
      </c>
      <c r="B33" s="13">
        <f t="shared" si="18"/>
        <v>1200</v>
      </c>
      <c r="C33" s="13">
        <f t="shared" si="19"/>
        <v>562.5</v>
      </c>
      <c r="D33" s="13">
        <f t="shared" si="20"/>
        <v>900</v>
      </c>
      <c r="E33" s="13">
        <f t="shared" si="21"/>
        <v>1500</v>
      </c>
      <c r="F33" s="13">
        <f t="shared" si="22"/>
        <v>0</v>
      </c>
      <c r="G33" s="13">
        <f t="shared" si="6"/>
        <v>4162.5</v>
      </c>
      <c r="H33" s="13">
        <f t="shared" si="7"/>
        <v>1762.5</v>
      </c>
      <c r="I33" s="13">
        <f t="shared" si="8"/>
        <v>68400</v>
      </c>
      <c r="J33" s="80">
        <f t="shared" si="9"/>
        <v>15300</v>
      </c>
      <c r="K33" s="13">
        <f t="shared" si="10"/>
        <v>10500</v>
      </c>
      <c r="L33" s="13">
        <f t="shared" si="11"/>
        <v>0</v>
      </c>
      <c r="N33" s="13">
        <f t="shared" si="12"/>
        <v>22500</v>
      </c>
      <c r="O33" s="13">
        <f t="shared" si="13"/>
        <v>116700</v>
      </c>
      <c r="P33" s="13">
        <f t="shared" si="23"/>
        <v>12337.5</v>
      </c>
      <c r="Q33" s="4">
        <v>0.0</v>
      </c>
      <c r="R33" s="13">
        <f t="shared" ref="R33:T33" si="36">X32</f>
        <v>6300</v>
      </c>
      <c r="S33" s="13">
        <f t="shared" si="36"/>
        <v>10500</v>
      </c>
      <c r="T33" s="13">
        <f t="shared" si="36"/>
        <v>0</v>
      </c>
      <c r="U33" s="13">
        <f t="shared" si="25"/>
        <v>29137.5</v>
      </c>
      <c r="V33" s="13">
        <f t="shared" si="15"/>
        <v>14100</v>
      </c>
      <c r="W33" s="4">
        <v>0.0</v>
      </c>
      <c r="X33" s="13">
        <f t="shared" ref="X33:Z33" si="37">R33+D33</f>
        <v>7200</v>
      </c>
      <c r="Y33" s="13">
        <f t="shared" si="37"/>
        <v>12000</v>
      </c>
      <c r="Z33" s="13">
        <f t="shared" si="37"/>
        <v>0</v>
      </c>
      <c r="AB33" s="13">
        <f t="shared" si="17"/>
        <v>33300</v>
      </c>
    </row>
    <row r="34">
      <c r="A34" s="13">
        <f t="shared" si="27"/>
        <v>2033</v>
      </c>
      <c r="B34" s="13">
        <f t="shared" si="18"/>
        <v>1200</v>
      </c>
      <c r="C34" s="13">
        <f t="shared" si="19"/>
        <v>562.5</v>
      </c>
      <c r="D34" s="13">
        <f t="shared" si="20"/>
        <v>900</v>
      </c>
      <c r="E34" s="13">
        <f t="shared" si="21"/>
        <v>1500</v>
      </c>
      <c r="F34" s="13">
        <f t="shared" si="22"/>
        <v>0</v>
      </c>
      <c r="G34" s="13">
        <f t="shared" si="6"/>
        <v>4162.5</v>
      </c>
      <c r="H34" s="13">
        <f t="shared" si="7"/>
        <v>1762.5</v>
      </c>
      <c r="I34" s="13">
        <f t="shared" si="8"/>
        <v>66637.5</v>
      </c>
      <c r="J34" s="80">
        <f t="shared" si="9"/>
        <v>14400</v>
      </c>
      <c r="K34" s="13">
        <f t="shared" si="10"/>
        <v>9000</v>
      </c>
      <c r="L34" s="13">
        <f t="shared" si="11"/>
        <v>0</v>
      </c>
      <c r="N34" s="13">
        <f t="shared" si="12"/>
        <v>22500</v>
      </c>
      <c r="O34" s="13">
        <f t="shared" si="13"/>
        <v>112537.5</v>
      </c>
      <c r="P34" s="13">
        <f t="shared" si="23"/>
        <v>14100</v>
      </c>
      <c r="Q34" s="4">
        <v>0.0</v>
      </c>
      <c r="R34" s="13">
        <f t="shared" ref="R34:T34" si="38">X33</f>
        <v>7200</v>
      </c>
      <c r="S34" s="13">
        <f t="shared" si="38"/>
        <v>12000</v>
      </c>
      <c r="T34" s="13">
        <f t="shared" si="38"/>
        <v>0</v>
      </c>
      <c r="U34" s="13">
        <f t="shared" si="25"/>
        <v>33300</v>
      </c>
      <c r="V34" s="13">
        <f t="shared" si="15"/>
        <v>15862.5</v>
      </c>
      <c r="W34" s="4">
        <v>0.0</v>
      </c>
      <c r="X34" s="13">
        <f t="shared" ref="X34:Z34" si="39">R34+D34</f>
        <v>8100</v>
      </c>
      <c r="Y34" s="13">
        <f t="shared" si="39"/>
        <v>13500</v>
      </c>
      <c r="Z34" s="13">
        <f t="shared" si="39"/>
        <v>0</v>
      </c>
      <c r="AB34" s="13">
        <f t="shared" si="17"/>
        <v>37462.5</v>
      </c>
    </row>
    <row r="35">
      <c r="A35" s="13">
        <f t="shared" si="27"/>
        <v>2034</v>
      </c>
      <c r="B35" s="13">
        <f t="shared" si="18"/>
        <v>1200</v>
      </c>
      <c r="C35" s="13">
        <f t="shared" si="19"/>
        <v>562.5</v>
      </c>
      <c r="D35" s="13">
        <f t="shared" si="20"/>
        <v>900</v>
      </c>
      <c r="E35" s="13">
        <f t="shared" si="21"/>
        <v>1500</v>
      </c>
      <c r="F35" s="13">
        <f t="shared" si="22"/>
        <v>0</v>
      </c>
      <c r="G35" s="13">
        <f t="shared" si="6"/>
        <v>4162.5</v>
      </c>
      <c r="H35" s="13">
        <f t="shared" si="7"/>
        <v>1762.5</v>
      </c>
      <c r="I35" s="13">
        <f t="shared" si="8"/>
        <v>64875</v>
      </c>
      <c r="J35" s="80">
        <f t="shared" si="9"/>
        <v>13500</v>
      </c>
      <c r="K35" s="13">
        <f t="shared" si="10"/>
        <v>7500</v>
      </c>
      <c r="L35" s="13">
        <f t="shared" si="11"/>
        <v>0</v>
      </c>
      <c r="N35" s="13">
        <f t="shared" si="12"/>
        <v>22500</v>
      </c>
      <c r="O35" s="13">
        <f t="shared" si="13"/>
        <v>108375</v>
      </c>
      <c r="P35" s="13">
        <f t="shared" si="23"/>
        <v>15862.5</v>
      </c>
      <c r="Q35" s="4">
        <v>0.0</v>
      </c>
      <c r="R35" s="13">
        <f t="shared" ref="R35:T35" si="40">X34</f>
        <v>8100</v>
      </c>
      <c r="S35" s="13">
        <f t="shared" si="40"/>
        <v>13500</v>
      </c>
      <c r="T35" s="13">
        <f t="shared" si="40"/>
        <v>0</v>
      </c>
      <c r="U35" s="13">
        <f t="shared" si="25"/>
        <v>37462.5</v>
      </c>
      <c r="V35" s="13">
        <f t="shared" si="15"/>
        <v>17625</v>
      </c>
      <c r="W35" s="4">
        <v>0.0</v>
      </c>
      <c r="X35" s="13">
        <f t="shared" ref="X35:Z35" si="41">R35+D35</f>
        <v>9000</v>
      </c>
      <c r="Y35" s="13">
        <f t="shared" si="41"/>
        <v>15000</v>
      </c>
      <c r="Z35" s="13">
        <f t="shared" si="41"/>
        <v>0</v>
      </c>
      <c r="AB35" s="13">
        <f t="shared" si="17"/>
        <v>41625</v>
      </c>
    </row>
    <row r="36">
      <c r="A36" s="13">
        <f t="shared" si="27"/>
        <v>2035</v>
      </c>
      <c r="B36" s="13">
        <f t="shared" si="18"/>
        <v>1200</v>
      </c>
      <c r="C36" s="13">
        <f t="shared" si="19"/>
        <v>562.5</v>
      </c>
      <c r="D36" s="13">
        <f t="shared" si="20"/>
        <v>900</v>
      </c>
      <c r="E36" s="13">
        <f t="shared" si="21"/>
        <v>1500</v>
      </c>
      <c r="F36" s="13">
        <f t="shared" si="22"/>
        <v>0</v>
      </c>
      <c r="G36" s="13">
        <f t="shared" si="6"/>
        <v>4162.5</v>
      </c>
      <c r="H36" s="13">
        <f t="shared" si="7"/>
        <v>1762.5</v>
      </c>
      <c r="I36" s="13">
        <f t="shared" si="8"/>
        <v>63112.5</v>
      </c>
      <c r="J36" s="80">
        <f t="shared" si="9"/>
        <v>12600</v>
      </c>
      <c r="K36" s="13">
        <f t="shared" si="10"/>
        <v>6000</v>
      </c>
      <c r="L36" s="13">
        <f t="shared" si="11"/>
        <v>0</v>
      </c>
      <c r="N36" s="13">
        <f t="shared" si="12"/>
        <v>22500</v>
      </c>
      <c r="O36" s="13">
        <f t="shared" si="13"/>
        <v>104212.5</v>
      </c>
      <c r="P36" s="13">
        <f t="shared" si="23"/>
        <v>17625</v>
      </c>
      <c r="Q36" s="4">
        <v>0.0</v>
      </c>
      <c r="R36" s="13">
        <f t="shared" ref="R36:T36" si="42">X35</f>
        <v>9000</v>
      </c>
      <c r="S36" s="13">
        <f t="shared" si="42"/>
        <v>15000</v>
      </c>
      <c r="T36" s="13">
        <f t="shared" si="42"/>
        <v>0</v>
      </c>
      <c r="U36" s="13">
        <f t="shared" si="25"/>
        <v>41625</v>
      </c>
      <c r="V36" s="13">
        <f t="shared" si="15"/>
        <v>19387.5</v>
      </c>
      <c r="W36" s="4">
        <v>0.0</v>
      </c>
      <c r="X36" s="13">
        <f t="shared" ref="X36:Z36" si="43">R36+D36</f>
        <v>9900</v>
      </c>
      <c r="Y36" s="13">
        <f t="shared" si="43"/>
        <v>16500</v>
      </c>
      <c r="Z36" s="13">
        <f t="shared" si="43"/>
        <v>0</v>
      </c>
      <c r="AB36" s="13">
        <f t="shared" si="17"/>
        <v>45787.5</v>
      </c>
    </row>
    <row r="37">
      <c r="A37" s="13">
        <f t="shared" si="27"/>
        <v>2036</v>
      </c>
      <c r="B37" s="13">
        <f t="shared" si="18"/>
        <v>1200</v>
      </c>
      <c r="C37" s="13">
        <f t="shared" si="19"/>
        <v>562.5</v>
      </c>
      <c r="D37" s="13">
        <f t="shared" si="20"/>
        <v>900</v>
      </c>
      <c r="E37" s="13">
        <f t="shared" si="21"/>
        <v>1500</v>
      </c>
      <c r="F37" s="13">
        <f t="shared" si="22"/>
        <v>0</v>
      </c>
      <c r="G37" s="13">
        <f t="shared" si="6"/>
        <v>4162.5</v>
      </c>
      <c r="H37" s="13">
        <f t="shared" si="7"/>
        <v>1762.5</v>
      </c>
      <c r="I37" s="13">
        <f t="shared" si="8"/>
        <v>61350</v>
      </c>
      <c r="J37" s="80">
        <f t="shared" si="9"/>
        <v>11700</v>
      </c>
      <c r="K37" s="13">
        <f t="shared" si="10"/>
        <v>4500</v>
      </c>
      <c r="L37" s="13">
        <f t="shared" si="11"/>
        <v>0</v>
      </c>
      <c r="N37" s="13">
        <f t="shared" si="12"/>
        <v>22500</v>
      </c>
      <c r="O37" s="13">
        <f t="shared" si="13"/>
        <v>100050</v>
      </c>
      <c r="P37" s="13">
        <f t="shared" si="23"/>
        <v>19387.5</v>
      </c>
      <c r="Q37" s="4">
        <v>0.0</v>
      </c>
      <c r="R37" s="13">
        <f t="shared" ref="R37:T37" si="44">X36</f>
        <v>9900</v>
      </c>
      <c r="S37" s="13">
        <f t="shared" si="44"/>
        <v>16500</v>
      </c>
      <c r="T37" s="13">
        <f t="shared" si="44"/>
        <v>0</v>
      </c>
      <c r="U37" s="13">
        <f t="shared" si="25"/>
        <v>45787.5</v>
      </c>
      <c r="V37" s="13">
        <f t="shared" si="15"/>
        <v>21150</v>
      </c>
      <c r="W37" s="4">
        <v>0.0</v>
      </c>
      <c r="X37" s="13">
        <f t="shared" ref="X37:Z37" si="45">R37+D37</f>
        <v>10800</v>
      </c>
      <c r="Y37" s="13">
        <f t="shared" si="45"/>
        <v>18000</v>
      </c>
      <c r="Z37" s="13">
        <f t="shared" si="45"/>
        <v>0</v>
      </c>
      <c r="AB37" s="13">
        <f t="shared" si="17"/>
        <v>49950</v>
      </c>
    </row>
    <row r="38">
      <c r="A38" s="13">
        <f t="shared" si="27"/>
        <v>2037</v>
      </c>
      <c r="B38" s="13">
        <f t="shared" si="18"/>
        <v>1200</v>
      </c>
      <c r="C38" s="13">
        <f t="shared" si="19"/>
        <v>562.5</v>
      </c>
      <c r="D38" s="13">
        <f t="shared" si="20"/>
        <v>900</v>
      </c>
      <c r="E38" s="13">
        <f t="shared" si="21"/>
        <v>1500</v>
      </c>
      <c r="F38" s="13">
        <f t="shared" si="22"/>
        <v>0</v>
      </c>
      <c r="G38" s="13">
        <f t="shared" si="6"/>
        <v>4162.5</v>
      </c>
      <c r="H38" s="13">
        <f t="shared" si="7"/>
        <v>1762.5</v>
      </c>
      <c r="I38" s="13">
        <f t="shared" si="8"/>
        <v>59587.5</v>
      </c>
      <c r="J38" s="80">
        <f t="shared" si="9"/>
        <v>10800</v>
      </c>
      <c r="K38" s="13">
        <f t="shared" si="10"/>
        <v>3000</v>
      </c>
      <c r="L38" s="13">
        <f t="shared" si="11"/>
        <v>0</v>
      </c>
      <c r="N38" s="13">
        <f t="shared" si="12"/>
        <v>22500</v>
      </c>
      <c r="O38" s="13">
        <f t="shared" si="13"/>
        <v>95887.5</v>
      </c>
      <c r="P38" s="13">
        <f t="shared" si="23"/>
        <v>21150</v>
      </c>
      <c r="Q38" s="4">
        <v>0.0</v>
      </c>
      <c r="R38" s="13">
        <f t="shared" ref="R38:T38" si="46">X37</f>
        <v>10800</v>
      </c>
      <c r="S38" s="13">
        <f t="shared" si="46"/>
        <v>18000</v>
      </c>
      <c r="T38" s="13">
        <f t="shared" si="46"/>
        <v>0</v>
      </c>
      <c r="U38" s="13">
        <f t="shared" si="25"/>
        <v>49950</v>
      </c>
      <c r="V38" s="13">
        <f t="shared" si="15"/>
        <v>22912.5</v>
      </c>
      <c r="W38" s="4">
        <v>0.0</v>
      </c>
      <c r="X38" s="13">
        <f t="shared" ref="X38:Z38" si="47">R38+D38</f>
        <v>11700</v>
      </c>
      <c r="Y38" s="13">
        <f t="shared" si="47"/>
        <v>19500</v>
      </c>
      <c r="Z38" s="13">
        <f t="shared" si="47"/>
        <v>0</v>
      </c>
      <c r="AB38" s="13">
        <f t="shared" si="17"/>
        <v>54112.5</v>
      </c>
    </row>
    <row r="39">
      <c r="A39" s="13">
        <f t="shared" si="27"/>
        <v>2038</v>
      </c>
      <c r="B39" s="13">
        <f t="shared" si="18"/>
        <v>1200</v>
      </c>
      <c r="C39" s="13">
        <f t="shared" si="19"/>
        <v>562.5</v>
      </c>
      <c r="D39" s="13">
        <f t="shared" si="20"/>
        <v>900</v>
      </c>
      <c r="E39" s="13">
        <f t="shared" si="21"/>
        <v>1500</v>
      </c>
      <c r="F39" s="13">
        <f t="shared" si="22"/>
        <v>0</v>
      </c>
      <c r="G39" s="13">
        <f t="shared" si="6"/>
        <v>4162.5</v>
      </c>
      <c r="H39" s="13">
        <f t="shared" si="7"/>
        <v>1762.5</v>
      </c>
      <c r="I39" s="13">
        <f t="shared" si="8"/>
        <v>57825</v>
      </c>
      <c r="J39" s="80">
        <f t="shared" si="9"/>
        <v>9900</v>
      </c>
      <c r="K39" s="13">
        <f t="shared" si="10"/>
        <v>1500</v>
      </c>
      <c r="L39" s="13">
        <f t="shared" si="11"/>
        <v>0</v>
      </c>
      <c r="N39" s="13">
        <f t="shared" si="12"/>
        <v>22500</v>
      </c>
      <c r="O39" s="13">
        <f t="shared" si="13"/>
        <v>91725</v>
      </c>
      <c r="P39" s="13">
        <f t="shared" si="23"/>
        <v>22912.5</v>
      </c>
      <c r="Q39" s="4">
        <v>0.0</v>
      </c>
      <c r="R39" s="13">
        <f t="shared" ref="R39:T39" si="48">X38</f>
        <v>11700</v>
      </c>
      <c r="S39" s="13">
        <f t="shared" si="48"/>
        <v>19500</v>
      </c>
      <c r="T39" s="13">
        <f t="shared" si="48"/>
        <v>0</v>
      </c>
      <c r="U39" s="13">
        <f t="shared" si="25"/>
        <v>54112.5</v>
      </c>
      <c r="V39" s="13">
        <f t="shared" si="15"/>
        <v>24675</v>
      </c>
      <c r="W39" s="4">
        <v>0.0</v>
      </c>
      <c r="X39" s="13">
        <f t="shared" ref="X39:Z39" si="49">R39+D39</f>
        <v>12600</v>
      </c>
      <c r="Y39" s="13">
        <f t="shared" si="49"/>
        <v>21000</v>
      </c>
      <c r="Z39" s="13">
        <f t="shared" si="49"/>
        <v>0</v>
      </c>
      <c r="AB39" s="13">
        <f t="shared" si="17"/>
        <v>58275</v>
      </c>
    </row>
    <row r="40">
      <c r="A40" s="13">
        <f t="shared" si="27"/>
        <v>2039</v>
      </c>
      <c r="B40" s="13">
        <f t="shared" si="18"/>
        <v>1200</v>
      </c>
      <c r="C40" s="13">
        <f t="shared" si="19"/>
        <v>562.5</v>
      </c>
      <c r="D40" s="13">
        <f t="shared" si="20"/>
        <v>900</v>
      </c>
      <c r="E40" s="13">
        <f t="shared" si="21"/>
        <v>1500</v>
      </c>
      <c r="F40" s="13">
        <f t="shared" si="22"/>
        <v>0</v>
      </c>
      <c r="G40" s="13">
        <f t="shared" si="6"/>
        <v>4162.5</v>
      </c>
      <c r="H40" s="13">
        <f t="shared" si="7"/>
        <v>1762.5</v>
      </c>
      <c r="I40" s="13">
        <f t="shared" si="8"/>
        <v>56062.5</v>
      </c>
      <c r="J40" s="80">
        <f t="shared" si="9"/>
        <v>9000</v>
      </c>
      <c r="K40" s="13">
        <f t="shared" si="10"/>
        <v>0</v>
      </c>
      <c r="L40" s="13">
        <f t="shared" si="11"/>
        <v>0</v>
      </c>
      <c r="N40" s="13">
        <f t="shared" si="12"/>
        <v>22500</v>
      </c>
      <c r="O40" s="13">
        <f t="shared" si="13"/>
        <v>87562.5</v>
      </c>
      <c r="P40" s="13">
        <f t="shared" si="23"/>
        <v>24675</v>
      </c>
      <c r="Q40" s="4">
        <v>0.0</v>
      </c>
      <c r="R40" s="13">
        <f t="shared" ref="R40:T40" si="50">X39</f>
        <v>12600</v>
      </c>
      <c r="S40" s="13">
        <f t="shared" si="50"/>
        <v>21000</v>
      </c>
      <c r="T40" s="13">
        <f t="shared" si="50"/>
        <v>0</v>
      </c>
      <c r="U40" s="13">
        <f t="shared" si="25"/>
        <v>58275</v>
      </c>
      <c r="V40" s="13">
        <f t="shared" si="15"/>
        <v>26437.5</v>
      </c>
      <c r="W40" s="4">
        <v>0.0</v>
      </c>
      <c r="X40" s="13">
        <f t="shared" ref="X40:Z40" si="51">R40+D40</f>
        <v>13500</v>
      </c>
      <c r="Y40" s="13">
        <f t="shared" si="51"/>
        <v>22500</v>
      </c>
      <c r="Z40" s="13">
        <f t="shared" si="51"/>
        <v>0</v>
      </c>
      <c r="AB40" s="13">
        <f t="shared" si="17"/>
        <v>62437.5</v>
      </c>
    </row>
    <row r="41">
      <c r="A41" s="13">
        <f t="shared" si="27"/>
        <v>2040</v>
      </c>
      <c r="B41" s="13">
        <f t="shared" si="18"/>
        <v>1200</v>
      </c>
      <c r="C41" s="13">
        <f t="shared" si="19"/>
        <v>562.5</v>
      </c>
      <c r="D41" s="13">
        <f t="shared" si="20"/>
        <v>900</v>
      </c>
      <c r="E41" s="13">
        <f t="shared" si="21"/>
        <v>0</v>
      </c>
      <c r="F41" s="13">
        <f t="shared" si="22"/>
        <v>0</v>
      </c>
      <c r="G41" s="13">
        <f t="shared" si="6"/>
        <v>2662.5</v>
      </c>
      <c r="H41" s="13">
        <f t="shared" si="7"/>
        <v>1762.5</v>
      </c>
      <c r="I41" s="13">
        <f t="shared" si="8"/>
        <v>54300</v>
      </c>
      <c r="J41" s="80">
        <f t="shared" si="9"/>
        <v>8100</v>
      </c>
      <c r="K41" s="13">
        <f t="shared" si="10"/>
        <v>0</v>
      </c>
      <c r="L41" s="13">
        <f t="shared" si="11"/>
        <v>0</v>
      </c>
      <c r="N41" s="13">
        <f t="shared" si="12"/>
        <v>22500</v>
      </c>
      <c r="O41" s="13">
        <f t="shared" si="13"/>
        <v>84900</v>
      </c>
      <c r="P41" s="13">
        <f t="shared" si="23"/>
        <v>26437.5</v>
      </c>
      <c r="Q41" s="4">
        <v>0.0</v>
      </c>
      <c r="R41" s="13">
        <f t="shared" ref="R41:T41" si="52">X40</f>
        <v>13500</v>
      </c>
      <c r="S41" s="13">
        <f t="shared" si="52"/>
        <v>22500</v>
      </c>
      <c r="T41" s="13">
        <f t="shared" si="52"/>
        <v>0</v>
      </c>
      <c r="U41" s="13">
        <f t="shared" si="25"/>
        <v>62437.5</v>
      </c>
      <c r="V41" s="13">
        <f t="shared" si="15"/>
        <v>28200</v>
      </c>
      <c r="W41" s="4">
        <v>0.0</v>
      </c>
      <c r="X41" s="13">
        <f t="shared" ref="X41:Z41" si="53">R41+D41</f>
        <v>14400</v>
      </c>
      <c r="Y41" s="13">
        <f t="shared" si="53"/>
        <v>22500</v>
      </c>
      <c r="Z41" s="13">
        <f t="shared" si="53"/>
        <v>0</v>
      </c>
      <c r="AB41" s="13">
        <f t="shared" si="17"/>
        <v>65100</v>
      </c>
    </row>
    <row r="42">
      <c r="A42" s="13">
        <f t="shared" si="27"/>
        <v>2041</v>
      </c>
      <c r="B42" s="13">
        <f t="shared" si="18"/>
        <v>1200</v>
      </c>
      <c r="C42" s="13">
        <f t="shared" si="19"/>
        <v>562.5</v>
      </c>
      <c r="D42" s="13">
        <f t="shared" si="20"/>
        <v>900</v>
      </c>
      <c r="E42" s="13">
        <f t="shared" si="21"/>
        <v>0</v>
      </c>
      <c r="F42" s="13">
        <f t="shared" si="22"/>
        <v>0</v>
      </c>
      <c r="G42" s="13">
        <f t="shared" si="6"/>
        <v>2662.5</v>
      </c>
      <c r="H42" s="13">
        <f t="shared" si="7"/>
        <v>1762.5</v>
      </c>
      <c r="I42" s="13">
        <f t="shared" si="8"/>
        <v>52537.5</v>
      </c>
      <c r="J42" s="80">
        <f t="shared" si="9"/>
        <v>7200</v>
      </c>
      <c r="K42" s="13">
        <f t="shared" si="10"/>
        <v>0</v>
      </c>
      <c r="L42" s="13">
        <f t="shared" si="11"/>
        <v>0</v>
      </c>
      <c r="N42" s="13">
        <f t="shared" si="12"/>
        <v>22500</v>
      </c>
      <c r="O42" s="13">
        <f t="shared" si="13"/>
        <v>82237.5</v>
      </c>
      <c r="P42" s="13">
        <f t="shared" si="23"/>
        <v>28200</v>
      </c>
      <c r="Q42" s="4">
        <v>0.0</v>
      </c>
      <c r="R42" s="13">
        <f t="shared" ref="R42:T42" si="54">X41</f>
        <v>14400</v>
      </c>
      <c r="S42" s="13">
        <f t="shared" si="54"/>
        <v>22500</v>
      </c>
      <c r="T42" s="13">
        <f t="shared" si="54"/>
        <v>0</v>
      </c>
      <c r="U42" s="13">
        <f t="shared" si="25"/>
        <v>65100</v>
      </c>
      <c r="V42" s="13">
        <f t="shared" si="15"/>
        <v>29962.5</v>
      </c>
      <c r="W42" s="4">
        <v>0.0</v>
      </c>
      <c r="X42" s="13">
        <f t="shared" ref="X42:Z42" si="55">R42+D42</f>
        <v>15300</v>
      </c>
      <c r="Y42" s="13">
        <f t="shared" si="55"/>
        <v>22500</v>
      </c>
      <c r="Z42" s="13">
        <f t="shared" si="55"/>
        <v>0</v>
      </c>
      <c r="AB42" s="13">
        <f t="shared" si="17"/>
        <v>67762.5</v>
      </c>
    </row>
    <row r="43">
      <c r="A43" s="13">
        <f t="shared" si="27"/>
        <v>2042</v>
      </c>
      <c r="B43" s="13">
        <f t="shared" si="18"/>
        <v>1200</v>
      </c>
      <c r="C43" s="13">
        <f t="shared" si="19"/>
        <v>562.5</v>
      </c>
      <c r="D43" s="13">
        <f t="shared" si="20"/>
        <v>900</v>
      </c>
      <c r="E43" s="13">
        <f t="shared" si="21"/>
        <v>0</v>
      </c>
      <c r="F43" s="13">
        <f t="shared" si="22"/>
        <v>0</v>
      </c>
      <c r="G43" s="13">
        <f t="shared" si="6"/>
        <v>2662.5</v>
      </c>
      <c r="H43" s="13">
        <f t="shared" si="7"/>
        <v>1762.5</v>
      </c>
      <c r="I43" s="13">
        <f t="shared" si="8"/>
        <v>50775</v>
      </c>
      <c r="J43" s="80">
        <f t="shared" si="9"/>
        <v>6300</v>
      </c>
      <c r="K43" s="13">
        <f t="shared" si="10"/>
        <v>0</v>
      </c>
      <c r="L43" s="13">
        <f t="shared" si="11"/>
        <v>0</v>
      </c>
      <c r="N43" s="13">
        <f t="shared" si="12"/>
        <v>22500</v>
      </c>
      <c r="O43" s="13">
        <f t="shared" si="13"/>
        <v>79575</v>
      </c>
      <c r="P43" s="13">
        <f t="shared" si="23"/>
        <v>29962.5</v>
      </c>
      <c r="Q43" s="4">
        <v>0.0</v>
      </c>
      <c r="R43" s="13">
        <f t="shared" ref="R43:T43" si="56">X42</f>
        <v>15300</v>
      </c>
      <c r="S43" s="13">
        <f t="shared" si="56"/>
        <v>22500</v>
      </c>
      <c r="T43" s="13">
        <f t="shared" si="56"/>
        <v>0</v>
      </c>
      <c r="U43" s="13">
        <f t="shared" si="25"/>
        <v>67762.5</v>
      </c>
      <c r="V43" s="13">
        <f t="shared" si="15"/>
        <v>31725</v>
      </c>
      <c r="W43" s="4">
        <v>0.0</v>
      </c>
      <c r="X43" s="13">
        <f t="shared" ref="X43:Z43" si="57">R43+D43</f>
        <v>16200</v>
      </c>
      <c r="Y43" s="13">
        <f t="shared" si="57"/>
        <v>22500</v>
      </c>
      <c r="Z43" s="13">
        <f t="shared" si="57"/>
        <v>0</v>
      </c>
      <c r="AB43" s="13">
        <f t="shared" si="17"/>
        <v>70425</v>
      </c>
    </row>
    <row r="44">
      <c r="A44" s="13">
        <f t="shared" si="27"/>
        <v>2043</v>
      </c>
      <c r="B44" s="13">
        <f t="shared" si="18"/>
        <v>1200</v>
      </c>
      <c r="C44" s="13">
        <f t="shared" si="19"/>
        <v>562.5</v>
      </c>
      <c r="D44" s="13">
        <f t="shared" si="20"/>
        <v>900</v>
      </c>
      <c r="E44" s="13">
        <f t="shared" si="21"/>
        <v>0</v>
      </c>
      <c r="F44" s="13">
        <f t="shared" si="22"/>
        <v>0</v>
      </c>
      <c r="G44" s="13">
        <f t="shared" si="6"/>
        <v>2662.5</v>
      </c>
      <c r="H44" s="13">
        <f t="shared" si="7"/>
        <v>1762.5</v>
      </c>
      <c r="I44" s="13">
        <f t="shared" si="8"/>
        <v>49012.5</v>
      </c>
      <c r="J44" s="80">
        <f t="shared" si="9"/>
        <v>5400</v>
      </c>
      <c r="K44" s="13">
        <f t="shared" si="10"/>
        <v>0</v>
      </c>
      <c r="L44" s="13">
        <f t="shared" si="11"/>
        <v>0</v>
      </c>
      <c r="N44" s="13">
        <f t="shared" si="12"/>
        <v>22500</v>
      </c>
      <c r="O44" s="13">
        <f t="shared" si="13"/>
        <v>76912.5</v>
      </c>
      <c r="P44" s="13">
        <f t="shared" si="23"/>
        <v>31725</v>
      </c>
      <c r="Q44" s="4">
        <v>0.0</v>
      </c>
      <c r="R44" s="13">
        <f t="shared" ref="R44:T44" si="58">X43</f>
        <v>16200</v>
      </c>
      <c r="S44" s="13">
        <f t="shared" si="58"/>
        <v>22500</v>
      </c>
      <c r="T44" s="13">
        <f t="shared" si="58"/>
        <v>0</v>
      </c>
      <c r="U44" s="13">
        <f t="shared" si="25"/>
        <v>70425</v>
      </c>
      <c r="V44" s="13">
        <f t="shared" si="15"/>
        <v>33487.5</v>
      </c>
      <c r="W44" s="4">
        <v>0.0</v>
      </c>
      <c r="X44" s="13">
        <f t="shared" ref="X44:Z44" si="59">R44+D44</f>
        <v>17100</v>
      </c>
      <c r="Y44" s="13">
        <f t="shared" si="59"/>
        <v>22500</v>
      </c>
      <c r="Z44" s="13">
        <f t="shared" si="59"/>
        <v>0</v>
      </c>
      <c r="AB44" s="13">
        <f t="shared" si="17"/>
        <v>73087.5</v>
      </c>
    </row>
    <row r="45">
      <c r="A45" s="13">
        <f t="shared" si="27"/>
        <v>2044</v>
      </c>
      <c r="B45" s="13">
        <f t="shared" si="18"/>
        <v>1200</v>
      </c>
      <c r="C45" s="13">
        <f t="shared" si="19"/>
        <v>562.5</v>
      </c>
      <c r="D45" s="13">
        <f t="shared" si="20"/>
        <v>900</v>
      </c>
      <c r="E45" s="13">
        <f t="shared" si="21"/>
        <v>0</v>
      </c>
      <c r="F45" s="13">
        <f t="shared" si="22"/>
        <v>0</v>
      </c>
      <c r="G45" s="13">
        <f t="shared" si="6"/>
        <v>2662.5</v>
      </c>
      <c r="H45" s="13">
        <f t="shared" si="7"/>
        <v>1762.5</v>
      </c>
      <c r="I45" s="13">
        <f t="shared" si="8"/>
        <v>47250</v>
      </c>
      <c r="J45" s="80">
        <f t="shared" si="9"/>
        <v>4500</v>
      </c>
      <c r="K45" s="13">
        <f t="shared" si="10"/>
        <v>0</v>
      </c>
      <c r="L45" s="13">
        <f t="shared" si="11"/>
        <v>0</v>
      </c>
      <c r="N45" s="13">
        <f t="shared" si="12"/>
        <v>22500</v>
      </c>
      <c r="O45" s="13">
        <f t="shared" si="13"/>
        <v>74250</v>
      </c>
      <c r="P45" s="13">
        <f t="shared" si="23"/>
        <v>33487.5</v>
      </c>
      <c r="Q45" s="4">
        <v>0.0</v>
      </c>
      <c r="R45" s="13">
        <f t="shared" ref="R45:T45" si="60">X44</f>
        <v>17100</v>
      </c>
      <c r="S45" s="13">
        <f t="shared" si="60"/>
        <v>22500</v>
      </c>
      <c r="T45" s="13">
        <f t="shared" si="60"/>
        <v>0</v>
      </c>
      <c r="U45" s="13">
        <f t="shared" si="25"/>
        <v>73087.5</v>
      </c>
      <c r="V45" s="13">
        <f t="shared" si="15"/>
        <v>35250</v>
      </c>
      <c r="W45" s="4">
        <v>0.0</v>
      </c>
      <c r="X45" s="13">
        <f t="shared" ref="X45:Z45" si="61">R45+D45</f>
        <v>18000</v>
      </c>
      <c r="Y45" s="13">
        <f t="shared" si="61"/>
        <v>22500</v>
      </c>
      <c r="Z45" s="13">
        <f t="shared" si="61"/>
        <v>0</v>
      </c>
      <c r="AB45" s="13">
        <f t="shared" si="17"/>
        <v>75750</v>
      </c>
    </row>
    <row r="46">
      <c r="A46" s="13">
        <f t="shared" si="27"/>
        <v>2045</v>
      </c>
      <c r="B46" s="13">
        <f t="shared" si="18"/>
        <v>1200</v>
      </c>
      <c r="C46" s="13">
        <f t="shared" si="19"/>
        <v>562.5</v>
      </c>
      <c r="D46" s="13">
        <f t="shared" si="20"/>
        <v>900</v>
      </c>
      <c r="E46" s="13">
        <f t="shared" si="21"/>
        <v>0</v>
      </c>
      <c r="F46" s="13">
        <f t="shared" si="22"/>
        <v>0</v>
      </c>
      <c r="G46" s="13">
        <f t="shared" si="6"/>
        <v>2662.5</v>
      </c>
      <c r="H46" s="13">
        <f t="shared" si="7"/>
        <v>1762.5</v>
      </c>
      <c r="I46" s="13">
        <f t="shared" si="8"/>
        <v>45487.5</v>
      </c>
      <c r="J46" s="80">
        <f t="shared" si="9"/>
        <v>3600</v>
      </c>
      <c r="K46" s="13">
        <f t="shared" si="10"/>
        <v>0</v>
      </c>
      <c r="L46" s="13">
        <f t="shared" si="11"/>
        <v>0</v>
      </c>
      <c r="N46" s="13">
        <f t="shared" si="12"/>
        <v>22500</v>
      </c>
      <c r="O46" s="13">
        <f t="shared" si="13"/>
        <v>71587.5</v>
      </c>
      <c r="P46" s="13">
        <f t="shared" si="23"/>
        <v>35250</v>
      </c>
      <c r="Q46" s="4">
        <v>0.0</v>
      </c>
      <c r="R46" s="13">
        <f t="shared" ref="R46:T46" si="62">X45</f>
        <v>18000</v>
      </c>
      <c r="S46" s="13">
        <f t="shared" si="62"/>
        <v>22500</v>
      </c>
      <c r="T46" s="13">
        <f t="shared" si="62"/>
        <v>0</v>
      </c>
      <c r="U46" s="13">
        <f t="shared" si="25"/>
        <v>75750</v>
      </c>
      <c r="V46" s="13">
        <f t="shared" si="15"/>
        <v>37012.5</v>
      </c>
      <c r="W46" s="4">
        <v>0.0</v>
      </c>
      <c r="X46" s="13">
        <f t="shared" ref="X46:Z46" si="63">R46+D46</f>
        <v>18900</v>
      </c>
      <c r="Y46" s="13">
        <f t="shared" si="63"/>
        <v>22500</v>
      </c>
      <c r="Z46" s="13">
        <f t="shared" si="63"/>
        <v>0</v>
      </c>
      <c r="AB46" s="13">
        <f t="shared" si="17"/>
        <v>78412.5</v>
      </c>
    </row>
    <row r="47">
      <c r="A47" s="13">
        <f t="shared" si="27"/>
        <v>2046</v>
      </c>
      <c r="B47" s="13">
        <f t="shared" si="18"/>
        <v>1200</v>
      </c>
      <c r="C47" s="13">
        <f t="shared" si="19"/>
        <v>562.5</v>
      </c>
      <c r="D47" s="13">
        <f t="shared" si="20"/>
        <v>900</v>
      </c>
      <c r="E47" s="13">
        <f t="shared" si="21"/>
        <v>0</v>
      </c>
      <c r="F47" s="13">
        <f t="shared" si="22"/>
        <v>0</v>
      </c>
      <c r="G47" s="13">
        <f t="shared" si="6"/>
        <v>2662.5</v>
      </c>
      <c r="H47" s="13">
        <f t="shared" si="7"/>
        <v>1762.5</v>
      </c>
      <c r="I47" s="13">
        <f t="shared" si="8"/>
        <v>43725</v>
      </c>
      <c r="J47" s="80">
        <f t="shared" si="9"/>
        <v>2700</v>
      </c>
      <c r="K47" s="13">
        <f t="shared" si="10"/>
        <v>0</v>
      </c>
      <c r="L47" s="13">
        <f t="shared" si="11"/>
        <v>0</v>
      </c>
      <c r="N47" s="13">
        <f t="shared" si="12"/>
        <v>22500</v>
      </c>
      <c r="O47" s="13">
        <f t="shared" si="13"/>
        <v>68925</v>
      </c>
      <c r="P47" s="13">
        <f t="shared" si="23"/>
        <v>37012.5</v>
      </c>
      <c r="Q47" s="4">
        <v>0.0</v>
      </c>
      <c r="R47" s="13">
        <f t="shared" ref="R47:T47" si="64">X46</f>
        <v>18900</v>
      </c>
      <c r="S47" s="13">
        <f t="shared" si="64"/>
        <v>22500</v>
      </c>
      <c r="T47" s="13">
        <f t="shared" si="64"/>
        <v>0</v>
      </c>
      <c r="U47" s="13">
        <f t="shared" si="25"/>
        <v>78412.5</v>
      </c>
      <c r="V47" s="13">
        <f t="shared" si="15"/>
        <v>38775</v>
      </c>
      <c r="W47" s="4">
        <v>0.0</v>
      </c>
      <c r="X47" s="13">
        <f t="shared" ref="X47:Z47" si="65">R47+D47</f>
        <v>19800</v>
      </c>
      <c r="Y47" s="13">
        <f t="shared" si="65"/>
        <v>22500</v>
      </c>
      <c r="Z47" s="13">
        <f t="shared" si="65"/>
        <v>0</v>
      </c>
      <c r="AB47" s="13">
        <f t="shared" si="17"/>
        <v>81075</v>
      </c>
    </row>
    <row r="48">
      <c r="A48" s="13">
        <f t="shared" si="27"/>
        <v>2047</v>
      </c>
      <c r="B48" s="13">
        <f t="shared" si="18"/>
        <v>1200</v>
      </c>
      <c r="C48" s="13">
        <f t="shared" si="19"/>
        <v>562.5</v>
      </c>
      <c r="D48" s="13">
        <f t="shared" si="20"/>
        <v>900</v>
      </c>
      <c r="E48" s="13">
        <f t="shared" si="21"/>
        <v>0</v>
      </c>
      <c r="F48" s="13">
        <f t="shared" si="22"/>
        <v>0</v>
      </c>
      <c r="G48" s="13">
        <f t="shared" si="6"/>
        <v>2662.5</v>
      </c>
      <c r="H48" s="13">
        <f t="shared" si="7"/>
        <v>1762.5</v>
      </c>
      <c r="I48" s="13">
        <f t="shared" si="8"/>
        <v>41962.5</v>
      </c>
      <c r="J48" s="80">
        <f t="shared" si="9"/>
        <v>1800</v>
      </c>
      <c r="K48" s="13">
        <f t="shared" si="10"/>
        <v>0</v>
      </c>
      <c r="L48" s="13">
        <f t="shared" si="11"/>
        <v>0</v>
      </c>
      <c r="N48" s="13">
        <f t="shared" si="12"/>
        <v>22500</v>
      </c>
      <c r="O48" s="13">
        <f t="shared" si="13"/>
        <v>66262.5</v>
      </c>
      <c r="P48" s="13">
        <f t="shared" si="23"/>
        <v>38775</v>
      </c>
      <c r="Q48" s="4">
        <v>0.0</v>
      </c>
      <c r="R48" s="13">
        <f t="shared" ref="R48:T48" si="66">X47</f>
        <v>19800</v>
      </c>
      <c r="S48" s="13">
        <f t="shared" si="66"/>
        <v>22500</v>
      </c>
      <c r="T48" s="13">
        <f t="shared" si="66"/>
        <v>0</v>
      </c>
      <c r="U48" s="13">
        <f t="shared" si="25"/>
        <v>81075</v>
      </c>
      <c r="V48" s="13">
        <f t="shared" si="15"/>
        <v>40537.5</v>
      </c>
      <c r="W48" s="4">
        <v>0.0</v>
      </c>
      <c r="X48" s="13">
        <f t="shared" ref="X48:Z48" si="67">R48+D48</f>
        <v>20700</v>
      </c>
      <c r="Y48" s="13">
        <f t="shared" si="67"/>
        <v>22500</v>
      </c>
      <c r="Z48" s="13">
        <f t="shared" si="67"/>
        <v>0</v>
      </c>
      <c r="AB48" s="13">
        <f t="shared" si="17"/>
        <v>83737.5</v>
      </c>
    </row>
    <row r="49">
      <c r="A49" s="13">
        <f t="shared" si="27"/>
        <v>2048</v>
      </c>
      <c r="B49" s="13">
        <f t="shared" si="18"/>
        <v>1200</v>
      </c>
      <c r="C49" s="13">
        <f t="shared" si="19"/>
        <v>562.5</v>
      </c>
      <c r="D49" s="13">
        <f t="shared" si="20"/>
        <v>900</v>
      </c>
      <c r="E49" s="13">
        <f t="shared" si="21"/>
        <v>0</v>
      </c>
      <c r="F49" s="13">
        <f t="shared" si="22"/>
        <v>0</v>
      </c>
      <c r="G49" s="13">
        <f t="shared" si="6"/>
        <v>2662.5</v>
      </c>
      <c r="H49" s="13">
        <f t="shared" si="7"/>
        <v>1762.5</v>
      </c>
      <c r="I49" s="13">
        <f t="shared" si="8"/>
        <v>40200</v>
      </c>
      <c r="J49" s="80">
        <f t="shared" si="9"/>
        <v>900</v>
      </c>
      <c r="K49" s="13">
        <f t="shared" si="10"/>
        <v>0</v>
      </c>
      <c r="L49" s="13">
        <f t="shared" si="11"/>
        <v>0</v>
      </c>
      <c r="N49" s="13">
        <f t="shared" si="12"/>
        <v>22500</v>
      </c>
      <c r="O49" s="13">
        <f t="shared" si="13"/>
        <v>63600</v>
      </c>
      <c r="P49" s="13">
        <f t="shared" si="23"/>
        <v>40537.5</v>
      </c>
      <c r="Q49" s="4">
        <v>0.0</v>
      </c>
      <c r="R49" s="13">
        <f t="shared" ref="R49:T49" si="68">X48</f>
        <v>20700</v>
      </c>
      <c r="S49" s="13">
        <f t="shared" si="68"/>
        <v>22500</v>
      </c>
      <c r="T49" s="13">
        <f t="shared" si="68"/>
        <v>0</v>
      </c>
      <c r="U49" s="13">
        <f t="shared" si="25"/>
        <v>83737.5</v>
      </c>
      <c r="V49" s="13">
        <f t="shared" si="15"/>
        <v>42300</v>
      </c>
      <c r="W49" s="4">
        <v>0.0</v>
      </c>
      <c r="X49" s="13">
        <f t="shared" ref="X49:Z49" si="69">R49+D49</f>
        <v>21600</v>
      </c>
      <c r="Y49" s="13">
        <f t="shared" si="69"/>
        <v>22500</v>
      </c>
      <c r="Z49" s="13">
        <f t="shared" si="69"/>
        <v>0</v>
      </c>
      <c r="AB49" s="13">
        <f t="shared" si="17"/>
        <v>86400</v>
      </c>
    </row>
    <row r="50">
      <c r="A50" s="13">
        <f t="shared" si="27"/>
        <v>2049</v>
      </c>
      <c r="B50" s="13">
        <f t="shared" si="18"/>
        <v>1200</v>
      </c>
      <c r="C50" s="13">
        <f t="shared" si="19"/>
        <v>562.5</v>
      </c>
      <c r="D50" s="13">
        <f t="shared" si="20"/>
        <v>900</v>
      </c>
      <c r="E50" s="13">
        <f t="shared" si="21"/>
        <v>0</v>
      </c>
      <c r="F50" s="13">
        <f t="shared" si="22"/>
        <v>0</v>
      </c>
      <c r="G50" s="13">
        <f t="shared" si="6"/>
        <v>2662.5</v>
      </c>
      <c r="H50" s="13">
        <f t="shared" si="7"/>
        <v>1762.5</v>
      </c>
      <c r="I50" s="13">
        <f t="shared" si="8"/>
        <v>38437.5</v>
      </c>
      <c r="J50" s="80">
        <f t="shared" si="9"/>
        <v>0</v>
      </c>
      <c r="K50" s="13">
        <f t="shared" si="10"/>
        <v>0</v>
      </c>
      <c r="L50" s="13">
        <f t="shared" si="11"/>
        <v>0</v>
      </c>
      <c r="N50" s="13">
        <f t="shared" si="12"/>
        <v>22500</v>
      </c>
      <c r="O50" s="13">
        <f t="shared" si="13"/>
        <v>60937.5</v>
      </c>
      <c r="P50" s="13">
        <f t="shared" si="23"/>
        <v>42300</v>
      </c>
      <c r="Q50" s="4">
        <v>0.0</v>
      </c>
      <c r="R50" s="13">
        <f t="shared" ref="R50:T50" si="70">X49</f>
        <v>21600</v>
      </c>
      <c r="S50" s="13">
        <f t="shared" si="70"/>
        <v>22500</v>
      </c>
      <c r="T50" s="13">
        <f t="shared" si="70"/>
        <v>0</v>
      </c>
      <c r="U50" s="13">
        <f t="shared" si="25"/>
        <v>86400</v>
      </c>
      <c r="V50" s="13">
        <f t="shared" si="15"/>
        <v>44062.5</v>
      </c>
      <c r="W50" s="4">
        <v>0.0</v>
      </c>
      <c r="X50" s="13">
        <f t="shared" ref="X50:Z50" si="71">R50+D50</f>
        <v>22500</v>
      </c>
      <c r="Y50" s="13">
        <f t="shared" si="71"/>
        <v>22500</v>
      </c>
      <c r="Z50" s="13">
        <f t="shared" si="71"/>
        <v>0</v>
      </c>
      <c r="AB50" s="13">
        <f t="shared" si="17"/>
        <v>89062.5</v>
      </c>
    </row>
    <row r="51">
      <c r="A51" s="13">
        <f t="shared" si="27"/>
        <v>2050</v>
      </c>
      <c r="B51" s="13">
        <f t="shared" si="18"/>
        <v>1200</v>
      </c>
      <c r="C51" s="13">
        <f t="shared" si="19"/>
        <v>562.5</v>
      </c>
      <c r="D51" s="13">
        <f t="shared" si="20"/>
        <v>0</v>
      </c>
      <c r="E51" s="13">
        <f t="shared" si="21"/>
        <v>0</v>
      </c>
      <c r="F51" s="13">
        <f t="shared" si="22"/>
        <v>0</v>
      </c>
      <c r="G51" s="13">
        <f t="shared" si="6"/>
        <v>1762.5</v>
      </c>
      <c r="H51" s="13">
        <f t="shared" si="7"/>
        <v>1762.5</v>
      </c>
      <c r="I51" s="13">
        <f t="shared" si="8"/>
        <v>36675</v>
      </c>
      <c r="J51" s="80">
        <f t="shared" si="9"/>
        <v>0</v>
      </c>
      <c r="K51" s="13">
        <f t="shared" si="10"/>
        <v>0</v>
      </c>
      <c r="L51" s="13">
        <f t="shared" si="11"/>
        <v>0</v>
      </c>
      <c r="N51" s="13">
        <f t="shared" si="12"/>
        <v>22500</v>
      </c>
      <c r="O51" s="13">
        <f t="shared" si="13"/>
        <v>59175</v>
      </c>
      <c r="P51" s="13">
        <f t="shared" si="23"/>
        <v>44062.5</v>
      </c>
      <c r="Q51" s="4">
        <v>0.0</v>
      </c>
      <c r="R51" s="13">
        <f t="shared" ref="R51:T51" si="72">X50</f>
        <v>22500</v>
      </c>
      <c r="S51" s="13">
        <f t="shared" si="72"/>
        <v>22500</v>
      </c>
      <c r="T51" s="13">
        <f t="shared" si="72"/>
        <v>0</v>
      </c>
      <c r="U51" s="13">
        <f t="shared" si="25"/>
        <v>89062.5</v>
      </c>
      <c r="V51" s="13">
        <f t="shared" si="15"/>
        <v>45825</v>
      </c>
      <c r="W51" s="4">
        <v>0.0</v>
      </c>
      <c r="X51" s="13">
        <f t="shared" ref="X51:Z51" si="73">R51+D51</f>
        <v>22500</v>
      </c>
      <c r="Y51" s="13">
        <f t="shared" si="73"/>
        <v>22500</v>
      </c>
      <c r="Z51" s="13">
        <f t="shared" si="73"/>
        <v>0</v>
      </c>
      <c r="AB51" s="13">
        <f t="shared" si="17"/>
        <v>90825</v>
      </c>
    </row>
    <row r="52">
      <c r="A52" s="13">
        <f t="shared" si="27"/>
        <v>2051</v>
      </c>
      <c r="B52" s="13">
        <f t="shared" si="18"/>
        <v>1200</v>
      </c>
      <c r="C52" s="13">
        <f t="shared" si="19"/>
        <v>562.5</v>
      </c>
      <c r="D52" s="13">
        <f t="shared" si="20"/>
        <v>0</v>
      </c>
      <c r="E52" s="13">
        <f t="shared" si="21"/>
        <v>0</v>
      </c>
      <c r="F52" s="13">
        <f t="shared" si="22"/>
        <v>0</v>
      </c>
      <c r="G52" s="13">
        <f t="shared" si="6"/>
        <v>1762.5</v>
      </c>
      <c r="H52" s="13">
        <f t="shared" si="7"/>
        <v>1762.5</v>
      </c>
      <c r="I52" s="13">
        <f t="shared" si="8"/>
        <v>34912.5</v>
      </c>
      <c r="J52" s="80">
        <f t="shared" si="9"/>
        <v>0</v>
      </c>
      <c r="K52" s="13">
        <f t="shared" si="10"/>
        <v>0</v>
      </c>
      <c r="L52" s="13">
        <f t="shared" si="11"/>
        <v>0</v>
      </c>
      <c r="N52" s="13">
        <f t="shared" si="12"/>
        <v>22500</v>
      </c>
      <c r="O52" s="13">
        <f t="shared" si="13"/>
        <v>57412.5</v>
      </c>
      <c r="P52" s="13">
        <f t="shared" si="23"/>
        <v>45825</v>
      </c>
      <c r="Q52" s="4">
        <v>0.0</v>
      </c>
      <c r="R52" s="13">
        <f t="shared" ref="R52:T52" si="74">X51</f>
        <v>22500</v>
      </c>
      <c r="S52" s="13">
        <f t="shared" si="74"/>
        <v>22500</v>
      </c>
      <c r="T52" s="13">
        <f t="shared" si="74"/>
        <v>0</v>
      </c>
      <c r="U52" s="13">
        <f t="shared" si="25"/>
        <v>90825</v>
      </c>
      <c r="V52" s="13">
        <f t="shared" si="15"/>
        <v>47587.5</v>
      </c>
      <c r="W52" s="4">
        <v>0.0</v>
      </c>
      <c r="X52" s="13">
        <f t="shared" ref="X52:Z52" si="75">R52+D52</f>
        <v>22500</v>
      </c>
      <c r="Y52" s="13">
        <f t="shared" si="75"/>
        <v>22500</v>
      </c>
      <c r="Z52" s="13">
        <f t="shared" si="75"/>
        <v>0</v>
      </c>
      <c r="AB52" s="13">
        <f t="shared" si="17"/>
        <v>92587.5</v>
      </c>
    </row>
    <row r="53">
      <c r="A53" s="13">
        <f t="shared" si="27"/>
        <v>2052</v>
      </c>
      <c r="B53" s="13">
        <f t="shared" si="18"/>
        <v>1200</v>
      </c>
      <c r="C53" s="13">
        <f t="shared" si="19"/>
        <v>562.5</v>
      </c>
      <c r="D53" s="13">
        <f t="shared" si="20"/>
        <v>0</v>
      </c>
      <c r="E53" s="13">
        <f t="shared" si="21"/>
        <v>0</v>
      </c>
      <c r="F53" s="13">
        <f t="shared" si="22"/>
        <v>0</v>
      </c>
      <c r="G53" s="13">
        <f t="shared" si="6"/>
        <v>1762.5</v>
      </c>
      <c r="H53" s="13">
        <f t="shared" si="7"/>
        <v>1762.5</v>
      </c>
      <c r="I53" s="13">
        <f t="shared" si="8"/>
        <v>33150</v>
      </c>
      <c r="J53" s="80">
        <f t="shared" si="9"/>
        <v>0</v>
      </c>
      <c r="K53" s="13">
        <f t="shared" si="10"/>
        <v>0</v>
      </c>
      <c r="L53" s="13">
        <f t="shared" si="11"/>
        <v>0</v>
      </c>
      <c r="N53" s="13">
        <f t="shared" si="12"/>
        <v>22500</v>
      </c>
      <c r="O53" s="13">
        <f t="shared" si="13"/>
        <v>55650</v>
      </c>
      <c r="P53" s="13">
        <f t="shared" si="23"/>
        <v>47587.5</v>
      </c>
      <c r="Q53" s="4">
        <v>0.0</v>
      </c>
      <c r="R53" s="13">
        <f t="shared" ref="R53:T53" si="76">X52</f>
        <v>22500</v>
      </c>
      <c r="S53" s="13">
        <f t="shared" si="76"/>
        <v>22500</v>
      </c>
      <c r="T53" s="13">
        <f t="shared" si="76"/>
        <v>0</v>
      </c>
      <c r="U53" s="13">
        <f t="shared" si="25"/>
        <v>92587.5</v>
      </c>
      <c r="V53" s="13">
        <f t="shared" si="15"/>
        <v>49350</v>
      </c>
      <c r="W53" s="4">
        <v>0.0</v>
      </c>
      <c r="X53" s="13">
        <f t="shared" ref="X53:Z53" si="77">R53+D53</f>
        <v>22500</v>
      </c>
      <c r="Y53" s="13">
        <f t="shared" si="77"/>
        <v>22500</v>
      </c>
      <c r="Z53" s="13">
        <f t="shared" si="77"/>
        <v>0</v>
      </c>
      <c r="AB53" s="13">
        <f t="shared" si="17"/>
        <v>94350</v>
      </c>
    </row>
    <row r="54">
      <c r="A54" s="13">
        <f t="shared" si="27"/>
        <v>2053</v>
      </c>
      <c r="B54" s="13">
        <f t="shared" si="18"/>
        <v>1200</v>
      </c>
      <c r="C54" s="13">
        <f t="shared" si="19"/>
        <v>562.5</v>
      </c>
      <c r="D54" s="13">
        <f t="shared" si="20"/>
        <v>0</v>
      </c>
      <c r="E54" s="13">
        <f t="shared" si="21"/>
        <v>0</v>
      </c>
      <c r="F54" s="13">
        <f t="shared" si="22"/>
        <v>0</v>
      </c>
      <c r="G54" s="13">
        <f t="shared" si="6"/>
        <v>1762.5</v>
      </c>
      <c r="H54" s="13">
        <f t="shared" si="7"/>
        <v>1762.5</v>
      </c>
      <c r="I54" s="13">
        <f t="shared" si="8"/>
        <v>31387.5</v>
      </c>
      <c r="J54" s="80">
        <f t="shared" si="9"/>
        <v>0</v>
      </c>
      <c r="K54" s="13">
        <f t="shared" si="10"/>
        <v>0</v>
      </c>
      <c r="L54" s="13">
        <f t="shared" si="11"/>
        <v>0</v>
      </c>
      <c r="N54" s="13">
        <f t="shared" si="12"/>
        <v>22500</v>
      </c>
      <c r="O54" s="13">
        <f t="shared" si="13"/>
        <v>53887.5</v>
      </c>
      <c r="P54" s="13">
        <f t="shared" si="23"/>
        <v>49350</v>
      </c>
      <c r="Q54" s="4">
        <v>0.0</v>
      </c>
      <c r="R54" s="13">
        <f t="shared" ref="R54:T54" si="78">X53</f>
        <v>22500</v>
      </c>
      <c r="S54" s="13">
        <f t="shared" si="78"/>
        <v>22500</v>
      </c>
      <c r="T54" s="13">
        <f t="shared" si="78"/>
        <v>0</v>
      </c>
      <c r="U54" s="13">
        <f t="shared" si="25"/>
        <v>94350</v>
      </c>
      <c r="V54" s="13">
        <f t="shared" si="15"/>
        <v>51112.5</v>
      </c>
      <c r="W54" s="4">
        <v>0.0</v>
      </c>
      <c r="X54" s="13">
        <f t="shared" ref="X54:Z54" si="79">R54+D54</f>
        <v>22500</v>
      </c>
      <c r="Y54" s="13">
        <f t="shared" si="79"/>
        <v>22500</v>
      </c>
      <c r="Z54" s="13">
        <f t="shared" si="79"/>
        <v>0</v>
      </c>
      <c r="AB54" s="13">
        <f t="shared" si="17"/>
        <v>96112.5</v>
      </c>
    </row>
    <row r="55">
      <c r="A55" s="13">
        <f t="shared" si="27"/>
        <v>2054</v>
      </c>
      <c r="B55" s="13">
        <f t="shared" si="18"/>
        <v>1200</v>
      </c>
      <c r="C55" s="13">
        <f t="shared" si="19"/>
        <v>562.5</v>
      </c>
      <c r="D55" s="13">
        <f t="shared" si="20"/>
        <v>0</v>
      </c>
      <c r="E55" s="13">
        <f t="shared" si="21"/>
        <v>0</v>
      </c>
      <c r="F55" s="13">
        <f t="shared" si="22"/>
        <v>0</v>
      </c>
      <c r="G55" s="13">
        <f t="shared" si="6"/>
        <v>1762.5</v>
      </c>
      <c r="H55" s="13">
        <f t="shared" si="7"/>
        <v>1762.5</v>
      </c>
      <c r="I55" s="13">
        <f t="shared" si="8"/>
        <v>29625</v>
      </c>
      <c r="J55" s="80">
        <f t="shared" si="9"/>
        <v>0</v>
      </c>
      <c r="K55" s="13">
        <f t="shared" si="10"/>
        <v>0</v>
      </c>
      <c r="L55" s="13">
        <f t="shared" si="11"/>
        <v>0</v>
      </c>
      <c r="N55" s="13">
        <f t="shared" si="12"/>
        <v>22500</v>
      </c>
      <c r="O55" s="13">
        <f t="shared" si="13"/>
        <v>52125</v>
      </c>
      <c r="P55" s="13">
        <f t="shared" si="23"/>
        <v>51112.5</v>
      </c>
      <c r="Q55" s="4">
        <v>0.0</v>
      </c>
      <c r="R55" s="13">
        <f t="shared" ref="R55:T55" si="80">X54</f>
        <v>22500</v>
      </c>
      <c r="S55" s="13">
        <f t="shared" si="80"/>
        <v>22500</v>
      </c>
      <c r="T55" s="13">
        <f t="shared" si="80"/>
        <v>0</v>
      </c>
      <c r="U55" s="13">
        <f t="shared" si="25"/>
        <v>96112.5</v>
      </c>
      <c r="V55" s="13">
        <f t="shared" si="15"/>
        <v>52875</v>
      </c>
      <c r="W55" s="4">
        <v>0.0</v>
      </c>
      <c r="X55" s="13">
        <f t="shared" ref="X55:Z55" si="81">R55+D55</f>
        <v>22500</v>
      </c>
      <c r="Y55" s="13">
        <f t="shared" si="81"/>
        <v>22500</v>
      </c>
      <c r="Z55" s="13">
        <f t="shared" si="81"/>
        <v>0</v>
      </c>
      <c r="AB55" s="13">
        <f t="shared" si="17"/>
        <v>97875</v>
      </c>
    </row>
    <row r="56">
      <c r="A56" s="13">
        <f t="shared" si="27"/>
        <v>2055</v>
      </c>
      <c r="B56" s="13">
        <f t="shared" si="18"/>
        <v>1200</v>
      </c>
      <c r="C56" s="13">
        <f t="shared" si="19"/>
        <v>562.5</v>
      </c>
      <c r="D56" s="13">
        <f t="shared" si="20"/>
        <v>0</v>
      </c>
      <c r="E56" s="13">
        <f t="shared" si="21"/>
        <v>0</v>
      </c>
      <c r="F56" s="13">
        <f t="shared" si="22"/>
        <v>0</v>
      </c>
      <c r="G56" s="13">
        <f t="shared" si="6"/>
        <v>1762.5</v>
      </c>
      <c r="H56" s="13">
        <f t="shared" si="7"/>
        <v>1762.5</v>
      </c>
      <c r="I56" s="13">
        <f t="shared" si="8"/>
        <v>27862.5</v>
      </c>
      <c r="J56" s="80">
        <f t="shared" si="9"/>
        <v>0</v>
      </c>
      <c r="K56" s="13">
        <f t="shared" si="10"/>
        <v>0</v>
      </c>
      <c r="L56" s="13">
        <f t="shared" si="11"/>
        <v>0</v>
      </c>
      <c r="N56" s="13">
        <f t="shared" si="12"/>
        <v>22500</v>
      </c>
      <c r="O56" s="13">
        <f t="shared" si="13"/>
        <v>50362.5</v>
      </c>
      <c r="P56" s="13">
        <f t="shared" si="23"/>
        <v>52875</v>
      </c>
      <c r="Q56" s="4">
        <v>0.0</v>
      </c>
      <c r="R56" s="13">
        <f t="shared" ref="R56:T56" si="82">X55</f>
        <v>22500</v>
      </c>
      <c r="S56" s="13">
        <f t="shared" si="82"/>
        <v>22500</v>
      </c>
      <c r="T56" s="13">
        <f t="shared" si="82"/>
        <v>0</v>
      </c>
      <c r="U56" s="13">
        <f t="shared" si="25"/>
        <v>97875</v>
      </c>
      <c r="V56" s="13">
        <f t="shared" si="15"/>
        <v>54637.5</v>
      </c>
      <c r="W56" s="4">
        <v>0.0</v>
      </c>
      <c r="X56" s="13">
        <f t="shared" ref="X56:Z56" si="83">R56+D56</f>
        <v>22500</v>
      </c>
      <c r="Y56" s="13">
        <f t="shared" si="83"/>
        <v>22500</v>
      </c>
      <c r="Z56" s="13">
        <f t="shared" si="83"/>
        <v>0</v>
      </c>
      <c r="AB56" s="13">
        <f t="shared" si="17"/>
        <v>99637.5</v>
      </c>
    </row>
    <row r="57">
      <c r="A57" s="13">
        <f t="shared" si="27"/>
        <v>2056</v>
      </c>
      <c r="B57" s="13">
        <f t="shared" si="18"/>
        <v>1200</v>
      </c>
      <c r="C57" s="13">
        <f t="shared" si="19"/>
        <v>562.5</v>
      </c>
      <c r="D57" s="13">
        <f t="shared" si="20"/>
        <v>0</v>
      </c>
      <c r="E57" s="13">
        <f t="shared" si="21"/>
        <v>0</v>
      </c>
      <c r="F57" s="13">
        <f t="shared" si="22"/>
        <v>0</v>
      </c>
      <c r="G57" s="13">
        <f t="shared" si="6"/>
        <v>1762.5</v>
      </c>
      <c r="H57" s="13">
        <f t="shared" si="7"/>
        <v>1762.5</v>
      </c>
      <c r="I57" s="13">
        <f t="shared" si="8"/>
        <v>26100</v>
      </c>
      <c r="J57" s="80">
        <f t="shared" si="9"/>
        <v>0</v>
      </c>
      <c r="K57" s="13">
        <f t="shared" si="10"/>
        <v>0</v>
      </c>
      <c r="L57" s="13">
        <f t="shared" si="11"/>
        <v>0</v>
      </c>
      <c r="N57" s="13">
        <f t="shared" si="12"/>
        <v>22500</v>
      </c>
      <c r="O57" s="13">
        <f t="shared" si="13"/>
        <v>48600</v>
      </c>
      <c r="P57" s="13">
        <f t="shared" si="23"/>
        <v>54637.5</v>
      </c>
      <c r="Q57" s="4">
        <v>0.0</v>
      </c>
      <c r="R57" s="13">
        <f t="shared" ref="R57:T57" si="84">X56</f>
        <v>22500</v>
      </c>
      <c r="S57" s="13">
        <f t="shared" si="84"/>
        <v>22500</v>
      </c>
      <c r="T57" s="13">
        <f t="shared" si="84"/>
        <v>0</v>
      </c>
      <c r="U57" s="13">
        <f t="shared" si="25"/>
        <v>99637.5</v>
      </c>
      <c r="V57" s="13">
        <f t="shared" si="15"/>
        <v>56400</v>
      </c>
      <c r="W57" s="4">
        <v>0.0</v>
      </c>
      <c r="X57" s="13">
        <f t="shared" ref="X57:Z57" si="85">R57+D57</f>
        <v>22500</v>
      </c>
      <c r="Y57" s="13">
        <f t="shared" si="85"/>
        <v>22500</v>
      </c>
      <c r="Z57" s="13">
        <f t="shared" si="85"/>
        <v>0</v>
      </c>
      <c r="AB57" s="13">
        <f t="shared" si="17"/>
        <v>101400</v>
      </c>
    </row>
    <row r="58">
      <c r="A58" s="13">
        <f t="shared" si="27"/>
        <v>2057</v>
      </c>
      <c r="B58" s="13">
        <f t="shared" si="18"/>
        <v>1200</v>
      </c>
      <c r="C58" s="13">
        <f t="shared" si="19"/>
        <v>562.5</v>
      </c>
      <c r="D58" s="13">
        <f t="shared" si="20"/>
        <v>0</v>
      </c>
      <c r="E58" s="13">
        <f t="shared" si="21"/>
        <v>0</v>
      </c>
      <c r="F58" s="13">
        <f t="shared" si="22"/>
        <v>0</v>
      </c>
      <c r="G58" s="13">
        <f t="shared" si="6"/>
        <v>1762.5</v>
      </c>
      <c r="H58" s="13">
        <f t="shared" si="7"/>
        <v>1762.5</v>
      </c>
      <c r="I58" s="13">
        <f t="shared" si="8"/>
        <v>24337.5</v>
      </c>
      <c r="J58" s="80">
        <f t="shared" si="9"/>
        <v>0</v>
      </c>
      <c r="K58" s="13">
        <f t="shared" si="10"/>
        <v>0</v>
      </c>
      <c r="L58" s="13">
        <f t="shared" si="11"/>
        <v>0</v>
      </c>
      <c r="N58" s="13">
        <f t="shared" si="12"/>
        <v>22500</v>
      </c>
      <c r="O58" s="13">
        <f t="shared" si="13"/>
        <v>46837.5</v>
      </c>
      <c r="P58" s="13">
        <f t="shared" si="23"/>
        <v>56400</v>
      </c>
      <c r="Q58" s="4">
        <v>0.0</v>
      </c>
      <c r="R58" s="13">
        <f t="shared" ref="R58:T58" si="86">X57</f>
        <v>22500</v>
      </c>
      <c r="S58" s="13">
        <f t="shared" si="86"/>
        <v>22500</v>
      </c>
      <c r="T58" s="13">
        <f t="shared" si="86"/>
        <v>0</v>
      </c>
      <c r="U58" s="13">
        <f t="shared" si="25"/>
        <v>101400</v>
      </c>
      <c r="V58" s="13">
        <f t="shared" si="15"/>
        <v>58162.5</v>
      </c>
      <c r="W58" s="4">
        <v>0.0</v>
      </c>
      <c r="X58" s="13">
        <f t="shared" ref="X58:Z58" si="87">R58+D58</f>
        <v>22500</v>
      </c>
      <c r="Y58" s="13">
        <f t="shared" si="87"/>
        <v>22500</v>
      </c>
      <c r="Z58" s="13">
        <f t="shared" si="87"/>
        <v>0</v>
      </c>
      <c r="AB58" s="13">
        <f t="shared" si="17"/>
        <v>103162.5</v>
      </c>
    </row>
    <row r="59">
      <c r="A59" s="13">
        <f t="shared" si="27"/>
        <v>2058</v>
      </c>
      <c r="B59" s="13">
        <f t="shared" si="18"/>
        <v>1200</v>
      </c>
      <c r="C59" s="13">
        <f t="shared" si="19"/>
        <v>562.5</v>
      </c>
      <c r="D59" s="13">
        <f t="shared" si="20"/>
        <v>0</v>
      </c>
      <c r="E59" s="13">
        <f t="shared" si="21"/>
        <v>0</v>
      </c>
      <c r="F59" s="13">
        <f t="shared" si="22"/>
        <v>0</v>
      </c>
      <c r="G59" s="13">
        <f t="shared" si="6"/>
        <v>1762.5</v>
      </c>
      <c r="H59" s="13">
        <f t="shared" si="7"/>
        <v>1762.5</v>
      </c>
      <c r="I59" s="13">
        <f t="shared" si="8"/>
        <v>22575</v>
      </c>
      <c r="J59" s="80">
        <f t="shared" si="9"/>
        <v>0</v>
      </c>
      <c r="K59" s="13">
        <f t="shared" si="10"/>
        <v>0</v>
      </c>
      <c r="L59" s="13">
        <f t="shared" si="11"/>
        <v>0</v>
      </c>
      <c r="N59" s="13">
        <f t="shared" si="12"/>
        <v>22500</v>
      </c>
      <c r="O59" s="13">
        <f t="shared" si="13"/>
        <v>45075</v>
      </c>
      <c r="P59" s="13">
        <f t="shared" si="23"/>
        <v>58162.5</v>
      </c>
      <c r="Q59" s="4">
        <v>0.0</v>
      </c>
      <c r="R59" s="13">
        <f t="shared" ref="R59:T59" si="88">X58</f>
        <v>22500</v>
      </c>
      <c r="S59" s="13">
        <f t="shared" si="88"/>
        <v>22500</v>
      </c>
      <c r="T59" s="13">
        <f t="shared" si="88"/>
        <v>0</v>
      </c>
      <c r="U59" s="13">
        <f t="shared" si="25"/>
        <v>103162.5</v>
      </c>
      <c r="V59" s="13">
        <f t="shared" si="15"/>
        <v>59925</v>
      </c>
      <c r="W59" s="4">
        <v>0.0</v>
      </c>
      <c r="X59" s="13">
        <f t="shared" ref="X59:Z59" si="89">R59+D59</f>
        <v>22500</v>
      </c>
      <c r="Y59" s="13">
        <f t="shared" si="89"/>
        <v>22500</v>
      </c>
      <c r="Z59" s="13">
        <f t="shared" si="89"/>
        <v>0</v>
      </c>
      <c r="AB59" s="13">
        <f t="shared" si="17"/>
        <v>104925</v>
      </c>
    </row>
    <row r="60">
      <c r="A60" s="13">
        <f t="shared" si="27"/>
        <v>2059</v>
      </c>
      <c r="B60" s="13">
        <f t="shared" si="18"/>
        <v>1200</v>
      </c>
      <c r="C60" s="13">
        <f t="shared" si="19"/>
        <v>562.5</v>
      </c>
      <c r="D60" s="13">
        <f t="shared" si="20"/>
        <v>0</v>
      </c>
      <c r="E60" s="13">
        <f t="shared" si="21"/>
        <v>0</v>
      </c>
      <c r="F60" s="13">
        <f t="shared" si="22"/>
        <v>0</v>
      </c>
      <c r="G60" s="13">
        <f t="shared" si="6"/>
        <v>1762.5</v>
      </c>
      <c r="H60" s="13">
        <f t="shared" si="7"/>
        <v>1762.5</v>
      </c>
      <c r="I60" s="13">
        <f t="shared" si="8"/>
        <v>20812.5</v>
      </c>
      <c r="J60" s="80">
        <f t="shared" si="9"/>
        <v>0</v>
      </c>
      <c r="K60" s="13">
        <f t="shared" si="10"/>
        <v>0</v>
      </c>
      <c r="L60" s="13">
        <f t="shared" si="11"/>
        <v>0</v>
      </c>
      <c r="N60" s="13">
        <f t="shared" si="12"/>
        <v>22500</v>
      </c>
      <c r="O60" s="13">
        <f t="shared" si="13"/>
        <v>43312.5</v>
      </c>
      <c r="P60" s="13">
        <f t="shared" si="23"/>
        <v>59925</v>
      </c>
      <c r="Q60" s="4">
        <v>0.0</v>
      </c>
      <c r="R60" s="13">
        <f t="shared" ref="R60:T60" si="90">X59</f>
        <v>22500</v>
      </c>
      <c r="S60" s="13">
        <f t="shared" si="90"/>
        <v>22500</v>
      </c>
      <c r="T60" s="13">
        <f t="shared" si="90"/>
        <v>0</v>
      </c>
      <c r="U60" s="13">
        <f t="shared" si="25"/>
        <v>104925</v>
      </c>
      <c r="V60" s="13">
        <f t="shared" si="15"/>
        <v>61687.5</v>
      </c>
      <c r="W60" s="4">
        <v>0.0</v>
      </c>
      <c r="X60" s="13">
        <f t="shared" ref="X60:Z60" si="91">R60+D60</f>
        <v>22500</v>
      </c>
      <c r="Y60" s="13">
        <f t="shared" si="91"/>
        <v>22500</v>
      </c>
      <c r="Z60" s="13">
        <f t="shared" si="91"/>
        <v>0</v>
      </c>
      <c r="AB60" s="13">
        <f t="shared" si="17"/>
        <v>106687.5</v>
      </c>
    </row>
    <row r="61">
      <c r="A61" s="13">
        <f t="shared" si="27"/>
        <v>2060</v>
      </c>
      <c r="B61" s="13">
        <f t="shared" si="18"/>
        <v>1200</v>
      </c>
      <c r="C61" s="13">
        <f t="shared" si="19"/>
        <v>562.5</v>
      </c>
      <c r="D61" s="13">
        <f t="shared" si="20"/>
        <v>0</v>
      </c>
      <c r="E61" s="13">
        <f t="shared" si="21"/>
        <v>0</v>
      </c>
      <c r="F61" s="13">
        <f t="shared" si="22"/>
        <v>0</v>
      </c>
      <c r="G61" s="13">
        <f t="shared" si="6"/>
        <v>1762.5</v>
      </c>
      <c r="H61" s="13">
        <f t="shared" si="7"/>
        <v>1762.5</v>
      </c>
      <c r="I61" s="13">
        <f t="shared" si="8"/>
        <v>19050</v>
      </c>
      <c r="J61" s="80">
        <f t="shared" si="9"/>
        <v>0</v>
      </c>
      <c r="K61" s="13">
        <f t="shared" si="10"/>
        <v>0</v>
      </c>
      <c r="L61" s="13">
        <f t="shared" si="11"/>
        <v>0</v>
      </c>
      <c r="N61" s="13">
        <f t="shared" si="12"/>
        <v>22500</v>
      </c>
      <c r="O61" s="13">
        <f t="shared" si="13"/>
        <v>41550</v>
      </c>
      <c r="P61" s="13">
        <f t="shared" si="23"/>
        <v>61687.5</v>
      </c>
      <c r="Q61" s="4">
        <v>0.0</v>
      </c>
      <c r="R61" s="13">
        <f t="shared" ref="R61:T61" si="92">X60</f>
        <v>22500</v>
      </c>
      <c r="S61" s="13">
        <f t="shared" si="92"/>
        <v>22500</v>
      </c>
      <c r="T61" s="13">
        <f t="shared" si="92"/>
        <v>0</v>
      </c>
      <c r="U61" s="13">
        <f t="shared" si="25"/>
        <v>106687.5</v>
      </c>
      <c r="V61" s="13">
        <f t="shared" si="15"/>
        <v>63450</v>
      </c>
      <c r="W61" s="4">
        <v>0.0</v>
      </c>
      <c r="X61" s="13">
        <f t="shared" ref="X61:Z61" si="93">R61+D61</f>
        <v>22500</v>
      </c>
      <c r="Y61" s="13">
        <f t="shared" si="93"/>
        <v>22500</v>
      </c>
      <c r="Z61" s="13">
        <f t="shared" si="93"/>
        <v>0</v>
      </c>
      <c r="AB61" s="13">
        <f t="shared" si="17"/>
        <v>108450</v>
      </c>
    </row>
    <row r="62">
      <c r="A62" s="13">
        <f t="shared" si="27"/>
        <v>2061</v>
      </c>
      <c r="B62" s="13">
        <f t="shared" si="18"/>
        <v>1200</v>
      </c>
      <c r="C62" s="13">
        <f t="shared" si="19"/>
        <v>562.5</v>
      </c>
      <c r="D62" s="13">
        <f t="shared" si="20"/>
        <v>0</v>
      </c>
      <c r="E62" s="13">
        <f t="shared" si="21"/>
        <v>0</v>
      </c>
      <c r="F62" s="13">
        <f t="shared" si="22"/>
        <v>0</v>
      </c>
      <c r="G62" s="13">
        <f t="shared" si="6"/>
        <v>1762.5</v>
      </c>
      <c r="H62" s="13">
        <f t="shared" si="7"/>
        <v>1762.5</v>
      </c>
      <c r="I62" s="13">
        <f t="shared" si="8"/>
        <v>17287.5</v>
      </c>
      <c r="J62" s="80">
        <f t="shared" si="9"/>
        <v>0</v>
      </c>
      <c r="K62" s="13">
        <f t="shared" si="10"/>
        <v>0</v>
      </c>
      <c r="L62" s="13">
        <f t="shared" si="11"/>
        <v>0</v>
      </c>
      <c r="N62" s="13">
        <f t="shared" si="12"/>
        <v>22500</v>
      </c>
      <c r="O62" s="13">
        <f t="shared" si="13"/>
        <v>39787.5</v>
      </c>
      <c r="P62" s="13">
        <f t="shared" si="23"/>
        <v>63450</v>
      </c>
      <c r="Q62" s="4">
        <v>0.0</v>
      </c>
      <c r="R62" s="13">
        <f t="shared" ref="R62:T62" si="94">X61</f>
        <v>22500</v>
      </c>
      <c r="S62" s="13">
        <f t="shared" si="94"/>
        <v>22500</v>
      </c>
      <c r="T62" s="13">
        <f t="shared" si="94"/>
        <v>0</v>
      </c>
      <c r="U62" s="13">
        <f t="shared" si="25"/>
        <v>108450</v>
      </c>
      <c r="V62" s="13">
        <f t="shared" si="15"/>
        <v>65212.5</v>
      </c>
      <c r="W62" s="4">
        <v>0.0</v>
      </c>
      <c r="X62" s="13">
        <f t="shared" ref="X62:Z62" si="95">R62+D62</f>
        <v>22500</v>
      </c>
      <c r="Y62" s="13">
        <f t="shared" si="95"/>
        <v>22500</v>
      </c>
      <c r="Z62" s="13">
        <f t="shared" si="95"/>
        <v>0</v>
      </c>
      <c r="AB62" s="13">
        <f t="shared" si="17"/>
        <v>110212.5</v>
      </c>
    </row>
    <row r="63">
      <c r="A63" s="13">
        <f t="shared" si="27"/>
        <v>2062</v>
      </c>
      <c r="B63" s="13">
        <f t="shared" si="18"/>
        <v>1200</v>
      </c>
      <c r="C63" s="13">
        <f t="shared" si="19"/>
        <v>562.5</v>
      </c>
      <c r="D63" s="13">
        <f t="shared" si="20"/>
        <v>0</v>
      </c>
      <c r="E63" s="13">
        <f t="shared" si="21"/>
        <v>0</v>
      </c>
      <c r="F63" s="13">
        <f t="shared" si="22"/>
        <v>0</v>
      </c>
      <c r="G63" s="13">
        <f t="shared" si="6"/>
        <v>1762.5</v>
      </c>
      <c r="H63" s="13">
        <f t="shared" si="7"/>
        <v>1762.5</v>
      </c>
      <c r="I63" s="13">
        <f t="shared" si="8"/>
        <v>15525</v>
      </c>
      <c r="J63" s="80">
        <f t="shared" si="9"/>
        <v>0</v>
      </c>
      <c r="K63" s="13">
        <f t="shared" si="10"/>
        <v>0</v>
      </c>
      <c r="L63" s="13">
        <f t="shared" si="11"/>
        <v>0</v>
      </c>
      <c r="N63" s="13">
        <f t="shared" si="12"/>
        <v>22500</v>
      </c>
      <c r="O63" s="13">
        <f t="shared" si="13"/>
        <v>38025</v>
      </c>
      <c r="P63" s="13">
        <f t="shared" si="23"/>
        <v>65212.5</v>
      </c>
      <c r="Q63" s="4">
        <v>0.0</v>
      </c>
      <c r="R63" s="13">
        <f t="shared" ref="R63:T63" si="96">X62</f>
        <v>22500</v>
      </c>
      <c r="S63" s="13">
        <f t="shared" si="96"/>
        <v>22500</v>
      </c>
      <c r="T63" s="13">
        <f t="shared" si="96"/>
        <v>0</v>
      </c>
      <c r="U63" s="13">
        <f t="shared" si="25"/>
        <v>110212.5</v>
      </c>
      <c r="V63" s="13">
        <f t="shared" si="15"/>
        <v>66975</v>
      </c>
      <c r="W63" s="4">
        <v>0.0</v>
      </c>
      <c r="X63" s="13">
        <f t="shared" ref="X63:Z63" si="97">R63+D63</f>
        <v>22500</v>
      </c>
      <c r="Y63" s="13">
        <f t="shared" si="97"/>
        <v>22500</v>
      </c>
      <c r="Z63" s="13">
        <f t="shared" si="97"/>
        <v>0</v>
      </c>
      <c r="AB63" s="13">
        <f t="shared" si="17"/>
        <v>111975</v>
      </c>
    </row>
    <row r="64">
      <c r="A64" s="13">
        <f t="shared" si="27"/>
        <v>2063</v>
      </c>
      <c r="B64" s="13">
        <f t="shared" si="18"/>
        <v>1200</v>
      </c>
      <c r="C64" s="13">
        <f t="shared" si="19"/>
        <v>562.5</v>
      </c>
      <c r="D64" s="13">
        <f t="shared" si="20"/>
        <v>0</v>
      </c>
      <c r="E64" s="13">
        <f t="shared" si="21"/>
        <v>0</v>
      </c>
      <c r="F64" s="13">
        <f t="shared" si="22"/>
        <v>0</v>
      </c>
      <c r="G64" s="13">
        <f t="shared" si="6"/>
        <v>1762.5</v>
      </c>
      <c r="H64" s="13">
        <f t="shared" si="7"/>
        <v>1762.5</v>
      </c>
      <c r="I64" s="13">
        <f t="shared" si="8"/>
        <v>13762.5</v>
      </c>
      <c r="J64" s="80">
        <f t="shared" si="9"/>
        <v>0</v>
      </c>
      <c r="K64" s="13">
        <f t="shared" si="10"/>
        <v>0</v>
      </c>
      <c r="L64" s="13">
        <f t="shared" si="11"/>
        <v>0</v>
      </c>
      <c r="N64" s="13">
        <f t="shared" si="12"/>
        <v>22500</v>
      </c>
      <c r="O64" s="13">
        <f t="shared" si="13"/>
        <v>36262.5</v>
      </c>
      <c r="P64" s="13">
        <f t="shared" si="23"/>
        <v>66975</v>
      </c>
      <c r="Q64" s="4">
        <v>0.0</v>
      </c>
      <c r="R64" s="13">
        <f t="shared" ref="R64:T64" si="98">X63</f>
        <v>22500</v>
      </c>
      <c r="S64" s="13">
        <f t="shared" si="98"/>
        <v>22500</v>
      </c>
      <c r="T64" s="13">
        <f t="shared" si="98"/>
        <v>0</v>
      </c>
      <c r="U64" s="13">
        <f t="shared" si="25"/>
        <v>111975</v>
      </c>
      <c r="V64" s="13">
        <f t="shared" si="15"/>
        <v>68737.5</v>
      </c>
      <c r="W64" s="4">
        <v>0.0</v>
      </c>
      <c r="X64" s="13">
        <f t="shared" ref="X64:Z64" si="99">R64+D64</f>
        <v>22500</v>
      </c>
      <c r="Y64" s="13">
        <f t="shared" si="99"/>
        <v>22500</v>
      </c>
      <c r="Z64" s="13">
        <f t="shared" si="99"/>
        <v>0</v>
      </c>
      <c r="AB64" s="13">
        <f t="shared" si="17"/>
        <v>113737.5</v>
      </c>
    </row>
    <row r="65">
      <c r="A65" s="13">
        <f t="shared" si="27"/>
        <v>2064</v>
      </c>
      <c r="B65" s="13">
        <f t="shared" si="18"/>
        <v>1200</v>
      </c>
      <c r="C65" s="13">
        <f t="shared" si="19"/>
        <v>562.5</v>
      </c>
      <c r="D65" s="13">
        <f t="shared" si="20"/>
        <v>0</v>
      </c>
      <c r="E65" s="13">
        <f t="shared" si="21"/>
        <v>0</v>
      </c>
      <c r="F65" s="13">
        <f t="shared" si="22"/>
        <v>0</v>
      </c>
      <c r="G65" s="13">
        <f t="shared" si="6"/>
        <v>1762.5</v>
      </c>
      <c r="H65" s="13">
        <f t="shared" si="7"/>
        <v>1762.5</v>
      </c>
      <c r="I65" s="13">
        <f t="shared" si="8"/>
        <v>12000</v>
      </c>
      <c r="J65" s="80">
        <f t="shared" si="9"/>
        <v>0</v>
      </c>
      <c r="K65" s="13">
        <f t="shared" si="10"/>
        <v>0</v>
      </c>
      <c r="L65" s="13">
        <f t="shared" si="11"/>
        <v>0</v>
      </c>
      <c r="N65" s="13">
        <f t="shared" si="12"/>
        <v>22500</v>
      </c>
      <c r="O65" s="13">
        <f t="shared" si="13"/>
        <v>34500</v>
      </c>
      <c r="P65" s="13">
        <f t="shared" si="23"/>
        <v>68737.5</v>
      </c>
      <c r="Q65" s="4">
        <v>0.0</v>
      </c>
      <c r="R65" s="13">
        <f t="shared" ref="R65:T65" si="100">X64</f>
        <v>22500</v>
      </c>
      <c r="S65" s="13">
        <f t="shared" si="100"/>
        <v>22500</v>
      </c>
      <c r="T65" s="13">
        <f t="shared" si="100"/>
        <v>0</v>
      </c>
      <c r="U65" s="13">
        <f t="shared" si="25"/>
        <v>113737.5</v>
      </c>
      <c r="V65" s="13">
        <f t="shared" si="15"/>
        <v>70500</v>
      </c>
      <c r="W65" s="4">
        <v>0.0</v>
      </c>
      <c r="X65" s="13">
        <f t="shared" ref="X65:Z65" si="101">R65+D65</f>
        <v>22500</v>
      </c>
      <c r="Y65" s="13">
        <f t="shared" si="101"/>
        <v>22500</v>
      </c>
      <c r="Z65" s="13">
        <f t="shared" si="101"/>
        <v>0</v>
      </c>
      <c r="AB65" s="13">
        <f t="shared" si="17"/>
        <v>115500</v>
      </c>
    </row>
    <row r="66">
      <c r="A66" s="13">
        <f t="shared" si="27"/>
        <v>2065</v>
      </c>
      <c r="B66" s="13">
        <f t="shared" si="18"/>
        <v>1200</v>
      </c>
      <c r="C66" s="13">
        <f t="shared" si="19"/>
        <v>0</v>
      </c>
      <c r="D66" s="13">
        <f t="shared" si="20"/>
        <v>0</v>
      </c>
      <c r="E66" s="13">
        <f t="shared" si="21"/>
        <v>0</v>
      </c>
      <c r="F66" s="13">
        <f t="shared" si="22"/>
        <v>0</v>
      </c>
      <c r="G66" s="13">
        <f t="shared" si="6"/>
        <v>1200</v>
      </c>
      <c r="H66" s="13">
        <f t="shared" si="7"/>
        <v>1200</v>
      </c>
      <c r="I66" s="13">
        <f t="shared" si="8"/>
        <v>10800</v>
      </c>
      <c r="J66" s="80">
        <f t="shared" si="9"/>
        <v>0</v>
      </c>
      <c r="K66" s="13">
        <f t="shared" si="10"/>
        <v>0</v>
      </c>
      <c r="L66" s="13">
        <f t="shared" si="11"/>
        <v>0</v>
      </c>
      <c r="N66" s="13">
        <f t="shared" si="12"/>
        <v>22500</v>
      </c>
      <c r="O66" s="13">
        <f t="shared" si="13"/>
        <v>33300</v>
      </c>
      <c r="P66" s="13">
        <f t="shared" si="23"/>
        <v>70500</v>
      </c>
      <c r="Q66" s="4">
        <v>0.0</v>
      </c>
      <c r="R66" s="13">
        <f t="shared" ref="R66:T66" si="102">X65</f>
        <v>22500</v>
      </c>
      <c r="S66" s="13">
        <f t="shared" si="102"/>
        <v>22500</v>
      </c>
      <c r="T66" s="13">
        <f t="shared" si="102"/>
        <v>0</v>
      </c>
      <c r="U66" s="13">
        <f t="shared" si="25"/>
        <v>115500</v>
      </c>
      <c r="V66" s="13">
        <f t="shared" si="15"/>
        <v>71700</v>
      </c>
      <c r="W66" s="4">
        <v>0.0</v>
      </c>
      <c r="X66" s="13">
        <f t="shared" ref="X66:Z66" si="103">R66+D66</f>
        <v>22500</v>
      </c>
      <c r="Y66" s="13">
        <f t="shared" si="103"/>
        <v>22500</v>
      </c>
      <c r="Z66" s="13">
        <f t="shared" si="103"/>
        <v>0</v>
      </c>
      <c r="AB66" s="13">
        <f t="shared" si="17"/>
        <v>116700</v>
      </c>
    </row>
    <row r="67">
      <c r="A67" s="13">
        <f t="shared" si="27"/>
        <v>2066</v>
      </c>
      <c r="B67" s="13">
        <f t="shared" si="18"/>
        <v>1200</v>
      </c>
      <c r="C67" s="13">
        <f t="shared" si="19"/>
        <v>0</v>
      </c>
      <c r="D67" s="13">
        <f t="shared" si="20"/>
        <v>0</v>
      </c>
      <c r="E67" s="13">
        <f t="shared" si="21"/>
        <v>0</v>
      </c>
      <c r="F67" s="13">
        <f t="shared" si="22"/>
        <v>0</v>
      </c>
      <c r="G67" s="13">
        <f t="shared" si="6"/>
        <v>1200</v>
      </c>
      <c r="H67" s="13">
        <f t="shared" si="7"/>
        <v>1200</v>
      </c>
      <c r="I67" s="13">
        <f t="shared" si="8"/>
        <v>9600</v>
      </c>
      <c r="J67" s="80">
        <f t="shared" si="9"/>
        <v>0</v>
      </c>
      <c r="K67" s="13">
        <f t="shared" si="10"/>
        <v>0</v>
      </c>
      <c r="L67" s="13">
        <f t="shared" si="11"/>
        <v>0</v>
      </c>
      <c r="N67" s="13">
        <f t="shared" si="12"/>
        <v>22500</v>
      </c>
      <c r="O67" s="13">
        <f t="shared" si="13"/>
        <v>32100</v>
      </c>
      <c r="P67" s="13">
        <f t="shared" si="23"/>
        <v>71700</v>
      </c>
      <c r="Q67" s="4">
        <v>0.0</v>
      </c>
      <c r="R67" s="13">
        <f t="shared" ref="R67:T67" si="104">X66</f>
        <v>22500</v>
      </c>
      <c r="S67" s="13">
        <f t="shared" si="104"/>
        <v>22500</v>
      </c>
      <c r="T67" s="13">
        <f t="shared" si="104"/>
        <v>0</v>
      </c>
      <c r="U67" s="13">
        <f t="shared" si="25"/>
        <v>116700</v>
      </c>
      <c r="V67" s="13">
        <f t="shared" si="15"/>
        <v>72900</v>
      </c>
      <c r="W67" s="4">
        <v>0.0</v>
      </c>
      <c r="X67" s="13">
        <f t="shared" ref="X67:Z67" si="105">R67+D67</f>
        <v>22500</v>
      </c>
      <c r="Y67" s="13">
        <f t="shared" si="105"/>
        <v>22500</v>
      </c>
      <c r="Z67" s="13">
        <f t="shared" si="105"/>
        <v>0</v>
      </c>
      <c r="AB67" s="13">
        <f t="shared" si="17"/>
        <v>117900</v>
      </c>
    </row>
    <row r="68">
      <c r="A68" s="13">
        <f t="shared" si="27"/>
        <v>2067</v>
      </c>
      <c r="B68" s="13">
        <f t="shared" si="18"/>
        <v>1200</v>
      </c>
      <c r="C68" s="13">
        <f t="shared" si="19"/>
        <v>0</v>
      </c>
      <c r="D68" s="13">
        <f t="shared" si="20"/>
        <v>0</v>
      </c>
      <c r="E68" s="13">
        <f t="shared" si="21"/>
        <v>0</v>
      </c>
      <c r="F68" s="13">
        <f t="shared" si="22"/>
        <v>0</v>
      </c>
      <c r="G68" s="13">
        <f t="shared" si="6"/>
        <v>1200</v>
      </c>
      <c r="H68" s="13">
        <f t="shared" si="7"/>
        <v>1200</v>
      </c>
      <c r="I68" s="13">
        <f t="shared" si="8"/>
        <v>8400</v>
      </c>
      <c r="J68" s="80">
        <f t="shared" si="9"/>
        <v>0</v>
      </c>
      <c r="K68" s="13">
        <f t="shared" si="10"/>
        <v>0</v>
      </c>
      <c r="L68" s="13">
        <f t="shared" si="11"/>
        <v>0</v>
      </c>
      <c r="N68" s="13">
        <f t="shared" si="12"/>
        <v>22500</v>
      </c>
      <c r="O68" s="13">
        <f t="shared" si="13"/>
        <v>30900</v>
      </c>
      <c r="P68" s="13">
        <f t="shared" si="23"/>
        <v>72900</v>
      </c>
      <c r="Q68" s="4">
        <v>0.0</v>
      </c>
      <c r="R68" s="13">
        <f t="shared" ref="R68:T68" si="106">X67</f>
        <v>22500</v>
      </c>
      <c r="S68" s="13">
        <f t="shared" si="106"/>
        <v>22500</v>
      </c>
      <c r="T68" s="13">
        <f t="shared" si="106"/>
        <v>0</v>
      </c>
      <c r="U68" s="13">
        <f t="shared" si="25"/>
        <v>117900</v>
      </c>
      <c r="V68" s="13">
        <f t="shared" si="15"/>
        <v>74100</v>
      </c>
      <c r="W68" s="4">
        <v>0.0</v>
      </c>
      <c r="X68" s="13">
        <f t="shared" ref="X68:Z68" si="107">R68+D68</f>
        <v>22500</v>
      </c>
      <c r="Y68" s="13">
        <f t="shared" si="107"/>
        <v>22500</v>
      </c>
      <c r="Z68" s="13">
        <f t="shared" si="107"/>
        <v>0</v>
      </c>
      <c r="AB68" s="13">
        <f t="shared" si="17"/>
        <v>119100</v>
      </c>
    </row>
    <row r="69">
      <c r="A69" s="13">
        <f t="shared" si="27"/>
        <v>2068</v>
      </c>
      <c r="B69" s="13">
        <f t="shared" si="18"/>
        <v>1200</v>
      </c>
      <c r="C69" s="13">
        <f t="shared" si="19"/>
        <v>0</v>
      </c>
      <c r="D69" s="13">
        <f t="shared" si="20"/>
        <v>0</v>
      </c>
      <c r="E69" s="13">
        <f t="shared" si="21"/>
        <v>0</v>
      </c>
      <c r="F69" s="13">
        <f t="shared" si="22"/>
        <v>0</v>
      </c>
      <c r="G69" s="13">
        <f t="shared" si="6"/>
        <v>1200</v>
      </c>
      <c r="H69" s="13">
        <f t="shared" si="7"/>
        <v>1200</v>
      </c>
      <c r="I69" s="13">
        <f t="shared" si="8"/>
        <v>7200</v>
      </c>
      <c r="J69" s="80">
        <f t="shared" si="9"/>
        <v>0</v>
      </c>
      <c r="K69" s="13">
        <f t="shared" si="10"/>
        <v>0</v>
      </c>
      <c r="L69" s="13">
        <f t="shared" si="11"/>
        <v>0</v>
      </c>
      <c r="N69" s="13">
        <f t="shared" si="12"/>
        <v>22500</v>
      </c>
      <c r="O69" s="13">
        <f t="shared" si="13"/>
        <v>29700</v>
      </c>
      <c r="P69" s="13">
        <f t="shared" si="23"/>
        <v>74100</v>
      </c>
      <c r="Q69" s="4">
        <v>0.0</v>
      </c>
      <c r="R69" s="13">
        <f t="shared" ref="R69:T69" si="108">X68</f>
        <v>22500</v>
      </c>
      <c r="S69" s="13">
        <f t="shared" si="108"/>
        <v>22500</v>
      </c>
      <c r="T69" s="13">
        <f t="shared" si="108"/>
        <v>0</v>
      </c>
      <c r="U69" s="13">
        <f t="shared" si="25"/>
        <v>119100</v>
      </c>
      <c r="V69" s="13">
        <f t="shared" si="15"/>
        <v>75300</v>
      </c>
      <c r="W69" s="4">
        <v>0.0</v>
      </c>
      <c r="X69" s="13">
        <f t="shared" ref="X69:Z69" si="109">R69+D69</f>
        <v>22500</v>
      </c>
      <c r="Y69" s="13">
        <f t="shared" si="109"/>
        <v>22500</v>
      </c>
      <c r="Z69" s="13">
        <f t="shared" si="109"/>
        <v>0</v>
      </c>
      <c r="AB69" s="13">
        <f t="shared" si="17"/>
        <v>120300</v>
      </c>
    </row>
    <row r="70">
      <c r="A70" s="13">
        <f t="shared" si="27"/>
        <v>2069</v>
      </c>
      <c r="B70" s="13">
        <f t="shared" si="18"/>
        <v>1200</v>
      </c>
      <c r="C70" s="13">
        <f t="shared" si="19"/>
        <v>0</v>
      </c>
      <c r="D70" s="13">
        <f t="shared" si="20"/>
        <v>0</v>
      </c>
      <c r="E70" s="13">
        <f t="shared" si="21"/>
        <v>0</v>
      </c>
      <c r="F70" s="13">
        <f t="shared" si="22"/>
        <v>0</v>
      </c>
      <c r="G70" s="13">
        <f t="shared" si="6"/>
        <v>1200</v>
      </c>
      <c r="H70" s="13">
        <f t="shared" si="7"/>
        <v>1200</v>
      </c>
      <c r="I70" s="13">
        <f t="shared" si="8"/>
        <v>6000</v>
      </c>
      <c r="J70" s="80">
        <f t="shared" si="9"/>
        <v>0</v>
      </c>
      <c r="K70" s="13">
        <f t="shared" si="10"/>
        <v>0</v>
      </c>
      <c r="L70" s="13">
        <f t="shared" si="11"/>
        <v>0</v>
      </c>
      <c r="N70" s="13">
        <f t="shared" si="12"/>
        <v>22500</v>
      </c>
      <c r="O70" s="13">
        <f t="shared" si="13"/>
        <v>28500</v>
      </c>
      <c r="P70" s="13">
        <f t="shared" si="23"/>
        <v>75300</v>
      </c>
      <c r="Q70" s="4">
        <v>0.0</v>
      </c>
      <c r="R70" s="13">
        <f t="shared" ref="R70:T70" si="110">X69</f>
        <v>22500</v>
      </c>
      <c r="S70" s="13">
        <f t="shared" si="110"/>
        <v>22500</v>
      </c>
      <c r="T70" s="13">
        <f t="shared" si="110"/>
        <v>0</v>
      </c>
      <c r="U70" s="13">
        <f t="shared" si="25"/>
        <v>120300</v>
      </c>
      <c r="V70" s="13">
        <f t="shared" si="15"/>
        <v>76500</v>
      </c>
      <c r="W70" s="4">
        <v>0.0</v>
      </c>
      <c r="X70" s="13">
        <f t="shared" ref="X70:Z70" si="111">R70+D70</f>
        <v>22500</v>
      </c>
      <c r="Y70" s="13">
        <f t="shared" si="111"/>
        <v>22500</v>
      </c>
      <c r="Z70" s="13">
        <f t="shared" si="111"/>
        <v>0</v>
      </c>
      <c r="AB70" s="13">
        <f t="shared" si="17"/>
        <v>121500</v>
      </c>
    </row>
    <row r="71">
      <c r="A71" s="13">
        <f t="shared" si="27"/>
        <v>2070</v>
      </c>
      <c r="B71" s="13">
        <f t="shared" si="18"/>
        <v>1200</v>
      </c>
      <c r="C71" s="13">
        <f t="shared" si="19"/>
        <v>0</v>
      </c>
      <c r="D71" s="13">
        <f t="shared" si="20"/>
        <v>0</v>
      </c>
      <c r="E71" s="13">
        <f t="shared" si="21"/>
        <v>0</v>
      </c>
      <c r="F71" s="13">
        <f t="shared" si="22"/>
        <v>0</v>
      </c>
      <c r="G71" s="13">
        <f t="shared" si="6"/>
        <v>1200</v>
      </c>
      <c r="H71" s="13">
        <f t="shared" si="7"/>
        <v>1200</v>
      </c>
      <c r="I71" s="13">
        <f t="shared" si="8"/>
        <v>4800</v>
      </c>
      <c r="J71" s="80">
        <f t="shared" si="9"/>
        <v>0</v>
      </c>
      <c r="K71" s="13">
        <f t="shared" si="10"/>
        <v>0</v>
      </c>
      <c r="L71" s="13">
        <f t="shared" si="11"/>
        <v>0</v>
      </c>
      <c r="N71" s="13">
        <f t="shared" si="12"/>
        <v>22500</v>
      </c>
      <c r="O71" s="13">
        <f t="shared" si="13"/>
        <v>27300</v>
      </c>
      <c r="P71" s="13">
        <f t="shared" si="23"/>
        <v>76500</v>
      </c>
      <c r="Q71" s="4">
        <v>0.0</v>
      </c>
      <c r="R71" s="13">
        <f t="shared" ref="R71:T71" si="112">X70</f>
        <v>22500</v>
      </c>
      <c r="S71" s="13">
        <f t="shared" si="112"/>
        <v>22500</v>
      </c>
      <c r="T71" s="13">
        <f t="shared" si="112"/>
        <v>0</v>
      </c>
      <c r="U71" s="13">
        <f t="shared" si="25"/>
        <v>121500</v>
      </c>
      <c r="V71" s="13">
        <f t="shared" si="15"/>
        <v>77700</v>
      </c>
      <c r="W71" s="4">
        <v>0.0</v>
      </c>
      <c r="X71" s="13">
        <f t="shared" ref="X71:Z71" si="113">R71+D71</f>
        <v>22500</v>
      </c>
      <c r="Y71" s="13">
        <f t="shared" si="113"/>
        <v>22500</v>
      </c>
      <c r="Z71" s="13">
        <f t="shared" si="113"/>
        <v>0</v>
      </c>
      <c r="AB71" s="13">
        <f t="shared" si="17"/>
        <v>122700</v>
      </c>
    </row>
    <row r="72">
      <c r="A72" s="13">
        <f t="shared" si="27"/>
        <v>2071</v>
      </c>
      <c r="B72" s="13">
        <f t="shared" si="18"/>
        <v>1200</v>
      </c>
      <c r="C72" s="13">
        <f t="shared" si="19"/>
        <v>0</v>
      </c>
      <c r="D72" s="13">
        <f t="shared" si="20"/>
        <v>0</v>
      </c>
      <c r="E72" s="13">
        <f t="shared" si="21"/>
        <v>0</v>
      </c>
      <c r="F72" s="13">
        <f t="shared" si="22"/>
        <v>0</v>
      </c>
      <c r="G72" s="13">
        <f t="shared" si="6"/>
        <v>1200</v>
      </c>
      <c r="H72" s="13">
        <f t="shared" si="7"/>
        <v>1200</v>
      </c>
      <c r="I72" s="13">
        <f t="shared" si="8"/>
        <v>3600</v>
      </c>
      <c r="J72" s="80">
        <f t="shared" si="9"/>
        <v>0</v>
      </c>
      <c r="K72" s="13">
        <f t="shared" si="10"/>
        <v>0</v>
      </c>
      <c r="L72" s="13">
        <f t="shared" si="11"/>
        <v>0</v>
      </c>
      <c r="N72" s="13">
        <f t="shared" si="12"/>
        <v>22500</v>
      </c>
      <c r="O72" s="13">
        <f t="shared" si="13"/>
        <v>26100</v>
      </c>
      <c r="P72" s="13">
        <f t="shared" si="23"/>
        <v>77700</v>
      </c>
      <c r="Q72" s="4">
        <v>0.0</v>
      </c>
      <c r="R72" s="13">
        <f t="shared" ref="R72:T72" si="114">X71</f>
        <v>22500</v>
      </c>
      <c r="S72" s="13">
        <f t="shared" si="114"/>
        <v>22500</v>
      </c>
      <c r="T72" s="13">
        <f t="shared" si="114"/>
        <v>0</v>
      </c>
      <c r="U72" s="13">
        <f t="shared" si="25"/>
        <v>122700</v>
      </c>
      <c r="V72" s="13">
        <f t="shared" si="15"/>
        <v>78900</v>
      </c>
      <c r="W72" s="4">
        <v>0.0</v>
      </c>
      <c r="X72" s="13">
        <f t="shared" ref="X72:Z72" si="115">R72+D72</f>
        <v>22500</v>
      </c>
      <c r="Y72" s="13">
        <f t="shared" si="115"/>
        <v>22500</v>
      </c>
      <c r="Z72" s="13">
        <f t="shared" si="115"/>
        <v>0</v>
      </c>
      <c r="AB72" s="13">
        <f t="shared" si="17"/>
        <v>123900</v>
      </c>
    </row>
    <row r="73">
      <c r="A73" s="13">
        <f t="shared" si="27"/>
        <v>2072</v>
      </c>
      <c r="B73" s="13">
        <f t="shared" si="18"/>
        <v>1200</v>
      </c>
      <c r="C73" s="13">
        <f t="shared" si="19"/>
        <v>0</v>
      </c>
      <c r="D73" s="13">
        <f t="shared" si="20"/>
        <v>0</v>
      </c>
      <c r="E73" s="13">
        <f t="shared" si="21"/>
        <v>0</v>
      </c>
      <c r="F73" s="13">
        <f t="shared" si="22"/>
        <v>0</v>
      </c>
      <c r="G73" s="13">
        <f t="shared" si="6"/>
        <v>1200</v>
      </c>
      <c r="H73" s="13">
        <f t="shared" si="7"/>
        <v>1200</v>
      </c>
      <c r="I73" s="13">
        <f t="shared" si="8"/>
        <v>2400</v>
      </c>
      <c r="J73" s="80">
        <f t="shared" si="9"/>
        <v>0</v>
      </c>
      <c r="K73" s="13">
        <f t="shared" si="10"/>
        <v>0</v>
      </c>
      <c r="L73" s="13">
        <f t="shared" si="11"/>
        <v>0</v>
      </c>
      <c r="N73" s="13">
        <f t="shared" si="12"/>
        <v>22500</v>
      </c>
      <c r="O73" s="13">
        <f t="shared" si="13"/>
        <v>24900</v>
      </c>
      <c r="P73" s="13">
        <f t="shared" si="23"/>
        <v>78900</v>
      </c>
      <c r="Q73" s="4">
        <v>0.0</v>
      </c>
      <c r="R73" s="13">
        <f t="shared" ref="R73:T73" si="116">X72</f>
        <v>22500</v>
      </c>
      <c r="S73" s="13">
        <f t="shared" si="116"/>
        <v>22500</v>
      </c>
      <c r="T73" s="13">
        <f t="shared" si="116"/>
        <v>0</v>
      </c>
      <c r="U73" s="13">
        <f t="shared" si="25"/>
        <v>123900</v>
      </c>
      <c r="V73" s="13">
        <f t="shared" si="15"/>
        <v>80100</v>
      </c>
      <c r="W73" s="4">
        <v>0.0</v>
      </c>
      <c r="X73" s="13">
        <f t="shared" ref="X73:Z73" si="117">R73+D73</f>
        <v>22500</v>
      </c>
      <c r="Y73" s="13">
        <f t="shared" si="117"/>
        <v>22500</v>
      </c>
      <c r="Z73" s="13">
        <f t="shared" si="117"/>
        <v>0</v>
      </c>
      <c r="AB73" s="13">
        <f t="shared" si="17"/>
        <v>125100</v>
      </c>
    </row>
    <row r="74">
      <c r="A74" s="13">
        <f t="shared" si="27"/>
        <v>2073</v>
      </c>
      <c r="B74" s="13">
        <f t="shared" si="18"/>
        <v>1200</v>
      </c>
      <c r="C74" s="13">
        <f t="shared" si="19"/>
        <v>0</v>
      </c>
      <c r="D74" s="13">
        <f t="shared" si="20"/>
        <v>0</v>
      </c>
      <c r="E74" s="13">
        <f t="shared" si="21"/>
        <v>0</v>
      </c>
      <c r="F74" s="13">
        <f t="shared" si="22"/>
        <v>0</v>
      </c>
      <c r="G74" s="13">
        <f t="shared" si="6"/>
        <v>1200</v>
      </c>
      <c r="H74" s="13">
        <f t="shared" si="7"/>
        <v>1200</v>
      </c>
      <c r="I74" s="13">
        <f t="shared" si="8"/>
        <v>1200</v>
      </c>
      <c r="J74" s="80">
        <f t="shared" si="9"/>
        <v>0</v>
      </c>
      <c r="K74" s="13">
        <f t="shared" si="10"/>
        <v>0</v>
      </c>
      <c r="L74" s="13">
        <f t="shared" si="11"/>
        <v>0</v>
      </c>
      <c r="N74" s="13">
        <f t="shared" si="12"/>
        <v>22500</v>
      </c>
      <c r="O74" s="13">
        <f t="shared" si="13"/>
        <v>23700</v>
      </c>
      <c r="P74" s="13">
        <f t="shared" si="23"/>
        <v>80100</v>
      </c>
      <c r="Q74" s="4">
        <v>0.0</v>
      </c>
      <c r="R74" s="13">
        <f t="shared" ref="R74:T74" si="118">X73</f>
        <v>22500</v>
      </c>
      <c r="S74" s="13">
        <f t="shared" si="118"/>
        <v>22500</v>
      </c>
      <c r="T74" s="13">
        <f t="shared" si="118"/>
        <v>0</v>
      </c>
      <c r="U74" s="13">
        <f t="shared" si="25"/>
        <v>125100</v>
      </c>
      <c r="V74" s="13">
        <f t="shared" si="15"/>
        <v>81300</v>
      </c>
      <c r="W74" s="4">
        <v>0.0</v>
      </c>
      <c r="X74" s="13">
        <f t="shared" ref="X74:Z74" si="119">R74+D74</f>
        <v>22500</v>
      </c>
      <c r="Y74" s="13">
        <f t="shared" si="119"/>
        <v>22500</v>
      </c>
      <c r="Z74" s="13">
        <f t="shared" si="119"/>
        <v>0</v>
      </c>
      <c r="AB74" s="13">
        <f t="shared" si="17"/>
        <v>126300</v>
      </c>
    </row>
    <row r="75">
      <c r="A75" s="13">
        <f t="shared" si="27"/>
        <v>2074</v>
      </c>
      <c r="B75" s="13">
        <f t="shared" si="18"/>
        <v>1200</v>
      </c>
      <c r="C75" s="13">
        <f t="shared" si="19"/>
        <v>0</v>
      </c>
      <c r="D75" s="13">
        <f t="shared" si="20"/>
        <v>0</v>
      </c>
      <c r="E75" s="13">
        <f t="shared" si="21"/>
        <v>0</v>
      </c>
      <c r="F75" s="13">
        <f t="shared" si="22"/>
        <v>0</v>
      </c>
      <c r="G75" s="13">
        <f t="shared" si="6"/>
        <v>1200</v>
      </c>
      <c r="H75" s="13">
        <f t="shared" si="7"/>
        <v>1200</v>
      </c>
      <c r="I75" s="13">
        <f t="shared" si="8"/>
        <v>0</v>
      </c>
      <c r="J75" s="80">
        <f t="shared" si="9"/>
        <v>0</v>
      </c>
      <c r="K75" s="13">
        <f t="shared" si="10"/>
        <v>0</v>
      </c>
      <c r="L75" s="13">
        <f t="shared" si="11"/>
        <v>0</v>
      </c>
      <c r="N75" s="13">
        <f t="shared" si="12"/>
        <v>22500</v>
      </c>
      <c r="O75" s="13">
        <f t="shared" si="13"/>
        <v>22500</v>
      </c>
      <c r="P75" s="13">
        <f t="shared" si="23"/>
        <v>81300</v>
      </c>
      <c r="Q75" s="4">
        <v>0.0</v>
      </c>
      <c r="R75" s="13">
        <f t="shared" ref="R75:T75" si="120">X74</f>
        <v>22500</v>
      </c>
      <c r="S75" s="13">
        <f t="shared" si="120"/>
        <v>22500</v>
      </c>
      <c r="T75" s="13">
        <f t="shared" si="120"/>
        <v>0</v>
      </c>
      <c r="U75" s="13">
        <f t="shared" si="25"/>
        <v>126300</v>
      </c>
      <c r="V75" s="13">
        <f t="shared" si="15"/>
        <v>82500</v>
      </c>
      <c r="W75" s="4">
        <v>0.0</v>
      </c>
      <c r="X75" s="13">
        <f t="shared" ref="X75:Z75" si="121">R75+D75</f>
        <v>22500</v>
      </c>
      <c r="Y75" s="13">
        <f t="shared" si="121"/>
        <v>22500</v>
      </c>
      <c r="Z75" s="13">
        <f t="shared" si="121"/>
        <v>0</v>
      </c>
      <c r="AB75" s="13">
        <f t="shared" si="17"/>
        <v>127500</v>
      </c>
    </row>
    <row r="76">
      <c r="A76" s="13">
        <f t="shared" si="27"/>
        <v>2075</v>
      </c>
      <c r="B76" s="13">
        <f t="shared" si="18"/>
        <v>0</v>
      </c>
      <c r="C76" s="13">
        <f t="shared" si="19"/>
        <v>0</v>
      </c>
      <c r="D76" s="13">
        <f t="shared" si="20"/>
        <v>0</v>
      </c>
      <c r="E76" s="13">
        <f t="shared" si="21"/>
        <v>0</v>
      </c>
      <c r="F76" s="13">
        <f t="shared" si="22"/>
        <v>0</v>
      </c>
      <c r="G76" s="13">
        <f t="shared" si="6"/>
        <v>0</v>
      </c>
      <c r="H76" s="13">
        <f t="shared" si="7"/>
        <v>0</v>
      </c>
      <c r="I76" s="13">
        <f t="shared" si="8"/>
        <v>0</v>
      </c>
      <c r="J76" s="80">
        <f t="shared" si="9"/>
        <v>0</v>
      </c>
      <c r="K76" s="13">
        <f t="shared" si="10"/>
        <v>0</v>
      </c>
      <c r="L76" s="13">
        <f t="shared" si="11"/>
        <v>0</v>
      </c>
      <c r="N76" s="13">
        <f t="shared" si="12"/>
        <v>22500</v>
      </c>
      <c r="O76" s="13">
        <f t="shared" si="13"/>
        <v>22500</v>
      </c>
      <c r="P76" s="13">
        <f t="shared" si="23"/>
        <v>82500</v>
      </c>
      <c r="Q76" s="4">
        <v>0.0</v>
      </c>
      <c r="R76" s="13">
        <f t="shared" ref="R76:T76" si="122">X75</f>
        <v>22500</v>
      </c>
      <c r="S76" s="13">
        <f t="shared" si="122"/>
        <v>22500</v>
      </c>
      <c r="T76" s="13">
        <f t="shared" si="122"/>
        <v>0</v>
      </c>
      <c r="U76" s="13">
        <f t="shared" si="25"/>
        <v>127500</v>
      </c>
      <c r="V76" s="13">
        <f t="shared" si="15"/>
        <v>82500</v>
      </c>
      <c r="W76" s="4">
        <v>0.0</v>
      </c>
      <c r="X76" s="13">
        <f t="shared" ref="X76:Z76" si="123">R76+D76</f>
        <v>22500</v>
      </c>
      <c r="Y76" s="13">
        <f t="shared" si="123"/>
        <v>22500</v>
      </c>
      <c r="Z76" s="13">
        <f t="shared" si="123"/>
        <v>0</v>
      </c>
      <c r="AB76" s="13">
        <f t="shared" si="17"/>
        <v>127500</v>
      </c>
    </row>
    <row r="80">
      <c r="A80" s="7" t="s">
        <v>237</v>
      </c>
    </row>
    <row r="82">
      <c r="A82" s="8" t="s">
        <v>4</v>
      </c>
      <c r="B82" s="9">
        <f>F13</f>
        <v>2025</v>
      </c>
      <c r="D82" s="8" t="s">
        <v>4</v>
      </c>
      <c r="E82" s="9">
        <f>F13+1</f>
        <v>2026</v>
      </c>
    </row>
    <row r="83">
      <c r="A83" s="8" t="s">
        <v>5</v>
      </c>
      <c r="B83" s="9">
        <f t="array" ref="B83">INDIRECT(ADDRESS(H13,7))</f>
        <v>4162.5</v>
      </c>
      <c r="D83" s="8" t="s">
        <v>5</v>
      </c>
      <c r="E83" s="9">
        <f t="array" ref="E83">INDIRECT(ADDRESS(H13+1,7))</f>
        <v>4162.5</v>
      </c>
    </row>
    <row r="84">
      <c r="A84" s="8" t="s">
        <v>6</v>
      </c>
      <c r="B84" s="10">
        <v>8000.0</v>
      </c>
      <c r="D84" s="8" t="s">
        <v>6</v>
      </c>
      <c r="E84" s="11">
        <f>8000</f>
        <v>8000</v>
      </c>
    </row>
    <row r="85">
      <c r="A85" s="8" t="s">
        <v>7</v>
      </c>
      <c r="B85" s="10">
        <f>1200+9000</f>
        <v>10200</v>
      </c>
      <c r="D85" s="8" t="s">
        <v>7</v>
      </c>
      <c r="E85" s="11">
        <f>1200</f>
        <v>1200</v>
      </c>
    </row>
    <row r="86">
      <c r="A86" s="8" t="s">
        <v>8</v>
      </c>
      <c r="B86" s="10">
        <v>0.0</v>
      </c>
      <c r="D86" s="8" t="s">
        <v>8</v>
      </c>
      <c r="E86" s="10">
        <v>0.0</v>
      </c>
      <c r="F86" s="4"/>
    </row>
    <row r="87">
      <c r="A87" s="8" t="s">
        <v>9</v>
      </c>
      <c r="B87" s="11">
        <f>3000</f>
        <v>3000</v>
      </c>
      <c r="D87" s="8" t="s">
        <v>9</v>
      </c>
      <c r="E87" s="10">
        <v>3000.0</v>
      </c>
    </row>
    <row r="88">
      <c r="A88" s="8" t="s">
        <v>256</v>
      </c>
      <c r="B88" s="9">
        <f>B84-B85-B86-B87</f>
        <v>-5200</v>
      </c>
      <c r="D88" s="8" t="s">
        <v>257</v>
      </c>
      <c r="E88" s="9">
        <f>E84-E85-E86-E87</f>
        <v>3800</v>
      </c>
    </row>
    <row r="89">
      <c r="A89" s="8" t="s">
        <v>12</v>
      </c>
      <c r="B89" s="9">
        <f>IF(B88&lt;0,-B88,0)</f>
        <v>5200</v>
      </c>
      <c r="D89" s="8" t="s">
        <v>12</v>
      </c>
      <c r="E89" s="9">
        <f>IF(E88&lt;0,-E88,0)</f>
        <v>0</v>
      </c>
    </row>
    <row r="90">
      <c r="A90" s="8" t="s">
        <v>258</v>
      </c>
      <c r="B90" s="12">
        <f>B88-B83</f>
        <v>-9362.5</v>
      </c>
      <c r="D90" s="8" t="s">
        <v>259</v>
      </c>
      <c r="E90" s="12">
        <f>E88-E83</f>
        <v>-362.5</v>
      </c>
    </row>
    <row r="91">
      <c r="A91" s="8" t="s">
        <v>15</v>
      </c>
      <c r="B91" s="9">
        <f>MIN(B83 , MAX(0 , B83 - B88))</f>
        <v>4162.5</v>
      </c>
      <c r="C91" s="13">
        <f>max(0-B90-B89)</f>
        <v>4162.5</v>
      </c>
      <c r="D91" s="8" t="s">
        <v>16</v>
      </c>
      <c r="E91" s="9">
        <f>MIN(E83 , MAX(0 , E83 - E88))</f>
        <v>362.5</v>
      </c>
    </row>
    <row r="92">
      <c r="A92" s="8" t="s">
        <v>17</v>
      </c>
      <c r="B92" s="8">
        <f>B91+B90</f>
        <v>-5200</v>
      </c>
      <c r="D92" s="8" t="s">
        <v>17</v>
      </c>
      <c r="E92" s="8">
        <f>E91+E90</f>
        <v>0</v>
      </c>
    </row>
    <row r="93">
      <c r="A93" s="8" t="s">
        <v>260</v>
      </c>
      <c r="B93" s="10">
        <v>0.0</v>
      </c>
      <c r="D93" s="8" t="s">
        <v>261</v>
      </c>
      <c r="E93" s="10">
        <f>B96</f>
        <v>4162.5</v>
      </c>
      <c r="F93" s="4"/>
    </row>
    <row r="94">
      <c r="A94" s="8" t="s">
        <v>262</v>
      </c>
      <c r="B94" s="9">
        <f>IF(B90&lt;=0,0,MIN(B90,B93))</f>
        <v>0</v>
      </c>
      <c r="D94" s="8" t="s">
        <v>263</v>
      </c>
      <c r="E94" s="9">
        <f>IF(E90&lt;=0,0,MIN(E90,E93))</f>
        <v>0</v>
      </c>
    </row>
    <row r="95">
      <c r="A95" s="8" t="s">
        <v>264</v>
      </c>
      <c r="B95" s="9">
        <f>B93-B94</f>
        <v>0</v>
      </c>
      <c r="D95" s="8" t="s">
        <v>265</v>
      </c>
      <c r="E95" s="9">
        <f>E93-E94</f>
        <v>4162.5</v>
      </c>
    </row>
    <row r="96">
      <c r="A96" s="8" t="s">
        <v>266</v>
      </c>
      <c r="B96" s="9">
        <f>B95+B91</f>
        <v>4162.5</v>
      </c>
      <c r="D96" s="8" t="s">
        <v>267</v>
      </c>
      <c r="E96" s="9">
        <f>E95+E91</f>
        <v>4525</v>
      </c>
    </row>
    <row r="97">
      <c r="A97" s="14" t="s">
        <v>26</v>
      </c>
      <c r="B97" s="9">
        <f>B92-B94</f>
        <v>-5200</v>
      </c>
      <c r="D97" s="14" t="s">
        <v>26</v>
      </c>
      <c r="E97" s="9">
        <f>E92-E94</f>
        <v>0</v>
      </c>
    </row>
    <row r="98">
      <c r="A98" s="8" t="s">
        <v>268</v>
      </c>
      <c r="B98" s="10">
        <v>0.0</v>
      </c>
      <c r="D98" s="8" t="s">
        <v>269</v>
      </c>
      <c r="E98" s="10">
        <f>B101</f>
        <v>5200</v>
      </c>
      <c r="F98" s="4"/>
    </row>
    <row r="99">
      <c r="A99" s="8" t="s">
        <v>270</v>
      </c>
      <c r="B99" s="9">
        <f>IF(B97&lt;=0,0,MIN(B97,B98))</f>
        <v>0</v>
      </c>
      <c r="D99" s="8" t="s">
        <v>271</v>
      </c>
      <c r="E99" s="9">
        <f>IF(E97&lt;=0,0,MIN(E97,E98))</f>
        <v>0</v>
      </c>
    </row>
    <row r="100">
      <c r="A100" s="8" t="s">
        <v>31</v>
      </c>
      <c r="B100" s="9">
        <f>B98+B99</f>
        <v>0</v>
      </c>
      <c r="D100" s="8" t="s">
        <v>31</v>
      </c>
      <c r="E100" s="9">
        <f>E98+E99</f>
        <v>5200</v>
      </c>
    </row>
    <row r="101">
      <c r="A101" s="8" t="s">
        <v>32</v>
      </c>
      <c r="B101" s="9">
        <f>B100+B89</f>
        <v>5200</v>
      </c>
      <c r="D101" s="8" t="s">
        <v>32</v>
      </c>
      <c r="E101" s="9">
        <f>E100+E89</f>
        <v>5200</v>
      </c>
    </row>
    <row r="102">
      <c r="A102" s="14" t="s">
        <v>33</v>
      </c>
      <c r="B102" s="9">
        <f>MAX(0 , B88 - B83)</f>
        <v>0</v>
      </c>
      <c r="D102" s="14" t="s">
        <v>33</v>
      </c>
      <c r="E102" s="9">
        <f>MAX(0 , E8 - E83)</f>
        <v>0</v>
      </c>
    </row>
    <row r="103">
      <c r="A103" s="8" t="s">
        <v>34</v>
      </c>
      <c r="B103" s="10">
        <v>0.0</v>
      </c>
      <c r="D103" s="8" t="s">
        <v>34</v>
      </c>
      <c r="E103" s="10">
        <f>B104</f>
        <v>0</v>
      </c>
      <c r="F103" s="4"/>
    </row>
    <row r="104">
      <c r="A104" s="8" t="s">
        <v>35</v>
      </c>
      <c r="B104" s="9">
        <f>Max(0,B84-B85-B86-B87)+B103</f>
        <v>0</v>
      </c>
      <c r="D104" s="8" t="s">
        <v>35</v>
      </c>
      <c r="E104" s="9">
        <f>Max(0,E84-E85-E86-E87)+E103</f>
        <v>3800</v>
      </c>
    </row>
    <row r="105">
      <c r="A105" s="16" t="s">
        <v>272</v>
      </c>
    </row>
    <row r="106">
      <c r="A106" s="4" t="s">
        <v>4</v>
      </c>
      <c r="B106" s="13">
        <f>F13</f>
        <v>2025</v>
      </c>
      <c r="I106" s="4" t="s">
        <v>4</v>
      </c>
      <c r="J106" s="13">
        <f>F13+1</f>
        <v>2026</v>
      </c>
    </row>
    <row r="107">
      <c r="A107" s="9"/>
      <c r="B107" s="17" t="s">
        <v>37</v>
      </c>
      <c r="C107" s="18" t="s">
        <v>38</v>
      </c>
      <c r="D107" s="19"/>
      <c r="E107" s="20" t="s">
        <v>39</v>
      </c>
      <c r="F107" s="19"/>
      <c r="G107" s="21" t="s">
        <v>40</v>
      </c>
      <c r="H107" s="22"/>
      <c r="I107" s="9"/>
      <c r="J107" s="17" t="s">
        <v>37</v>
      </c>
      <c r="K107" s="18" t="s">
        <v>38</v>
      </c>
      <c r="L107" s="19"/>
      <c r="M107" s="20" t="s">
        <v>39</v>
      </c>
      <c r="N107" s="19"/>
      <c r="O107" s="21" t="s">
        <v>40</v>
      </c>
    </row>
    <row r="108">
      <c r="A108" s="23" t="s">
        <v>41</v>
      </c>
      <c r="B108" s="24" t="s">
        <v>42</v>
      </c>
      <c r="C108" s="24" t="s">
        <v>43</v>
      </c>
      <c r="D108" s="25">
        <f>B4+B5</f>
        <v>150000</v>
      </c>
      <c r="E108" s="24" t="s">
        <v>44</v>
      </c>
      <c r="F108" s="25">
        <f t="array" ref="F108">INDIRECT(ADDRESS(H13,28))</f>
        <v>4162.5</v>
      </c>
      <c r="G108" s="25">
        <f>D108-F108</f>
        <v>145837.5</v>
      </c>
      <c r="H108" s="22"/>
      <c r="I108" s="23" t="s">
        <v>41</v>
      </c>
      <c r="J108" s="24" t="s">
        <v>42</v>
      </c>
      <c r="K108" s="24" t="s">
        <v>43</v>
      </c>
      <c r="L108" s="25">
        <f>D108</f>
        <v>150000</v>
      </c>
      <c r="M108" s="24" t="s">
        <v>44</v>
      </c>
      <c r="N108" s="25">
        <f t="array" ref="N108">INDIRECT(ADDRESS(H13+1,28))</f>
        <v>8325</v>
      </c>
      <c r="O108" s="25">
        <f>L108-N108</f>
        <v>141675</v>
      </c>
    </row>
    <row r="109">
      <c r="A109" s="26"/>
      <c r="B109" s="24" t="s">
        <v>45</v>
      </c>
      <c r="C109" s="24" t="s">
        <v>46</v>
      </c>
      <c r="D109" s="24">
        <v>0.0</v>
      </c>
      <c r="E109" s="24" t="s">
        <v>47</v>
      </c>
      <c r="F109" s="24">
        <v>0.0</v>
      </c>
      <c r="G109" s="24">
        <v>0.0</v>
      </c>
      <c r="H109" s="22"/>
      <c r="I109" s="26"/>
      <c r="J109" s="24" t="s">
        <v>45</v>
      </c>
      <c r="K109" s="24" t="s">
        <v>46</v>
      </c>
      <c r="L109" s="24">
        <v>0.0</v>
      </c>
      <c r="M109" s="24" t="s">
        <v>47</v>
      </c>
      <c r="N109" s="24">
        <v>0.0</v>
      </c>
      <c r="O109" s="24">
        <v>0.0</v>
      </c>
    </row>
    <row r="110">
      <c r="A110" s="27"/>
      <c r="B110" s="28" t="s">
        <v>48</v>
      </c>
      <c r="C110" s="24" t="s">
        <v>49</v>
      </c>
      <c r="D110" s="25">
        <f>D108+D109</f>
        <v>150000</v>
      </c>
      <c r="E110" s="24" t="s">
        <v>50</v>
      </c>
      <c r="F110" s="25">
        <f t="shared" ref="F110:G110" si="124">F108+F109</f>
        <v>4162.5</v>
      </c>
      <c r="G110" s="25">
        <f t="shared" si="124"/>
        <v>145837.5</v>
      </c>
      <c r="H110" s="22"/>
      <c r="I110" s="27"/>
      <c r="J110" s="28" t="s">
        <v>48</v>
      </c>
      <c r="K110" s="24" t="s">
        <v>49</v>
      </c>
      <c r="L110" s="25">
        <f>L108+L109</f>
        <v>150000</v>
      </c>
      <c r="M110" s="24" t="s">
        <v>50</v>
      </c>
      <c r="N110" s="25">
        <f t="shared" ref="N110:O110" si="125">N108+N109</f>
        <v>8325</v>
      </c>
      <c r="O110" s="25">
        <f t="shared" si="125"/>
        <v>141675</v>
      </c>
    </row>
    <row r="111">
      <c r="A111" s="23" t="s">
        <v>51</v>
      </c>
      <c r="B111" s="25"/>
      <c r="C111" s="25"/>
      <c r="D111" s="25"/>
      <c r="E111" s="25"/>
      <c r="F111" s="25"/>
      <c r="G111" s="25"/>
      <c r="H111" s="22"/>
      <c r="I111" s="23" t="s">
        <v>51</v>
      </c>
      <c r="J111" s="25"/>
      <c r="K111" s="25"/>
      <c r="L111" s="25"/>
      <c r="M111" s="25"/>
      <c r="N111" s="25"/>
      <c r="O111" s="25"/>
    </row>
    <row r="112">
      <c r="A112" s="26"/>
      <c r="B112" s="24" t="s">
        <v>35</v>
      </c>
      <c r="C112" s="24" t="s">
        <v>52</v>
      </c>
      <c r="D112" s="25">
        <f>B104</f>
        <v>0</v>
      </c>
      <c r="E112" s="25"/>
      <c r="F112" s="25"/>
      <c r="G112" s="25">
        <f>D112</f>
        <v>0</v>
      </c>
      <c r="H112" s="22"/>
      <c r="I112" s="26"/>
      <c r="J112" s="24" t="s">
        <v>35</v>
      </c>
      <c r="K112" s="24" t="s">
        <v>52</v>
      </c>
      <c r="L112" s="25" t="str">
        <f>J104</f>
        <v/>
      </c>
      <c r="M112" s="25"/>
      <c r="N112" s="25"/>
      <c r="O112" s="25" t="str">
        <f>L112</f>
        <v/>
      </c>
    </row>
    <row r="113">
      <c r="A113" s="27"/>
      <c r="B113" s="25"/>
      <c r="C113" s="25"/>
      <c r="D113" s="25"/>
      <c r="E113" s="25"/>
      <c r="F113" s="25"/>
      <c r="G113" s="25"/>
      <c r="H113" s="22"/>
      <c r="I113" s="27"/>
      <c r="J113" s="25"/>
      <c r="K113" s="25"/>
      <c r="L113" s="25"/>
      <c r="M113" s="25"/>
      <c r="N113" s="25"/>
      <c r="O113" s="25"/>
    </row>
    <row r="114">
      <c r="A114" s="29" t="s">
        <v>48</v>
      </c>
      <c r="B114" s="19"/>
      <c r="C114" s="28" t="s">
        <v>53</v>
      </c>
      <c r="D114" s="30">
        <f>D110+D112</f>
        <v>150000</v>
      </c>
      <c r="E114" s="28" t="s">
        <v>54</v>
      </c>
      <c r="F114" s="30">
        <f>F110</f>
        <v>4162.5</v>
      </c>
      <c r="G114" s="30">
        <f>G110+G112</f>
        <v>145837.5</v>
      </c>
      <c r="H114" s="22"/>
      <c r="I114" s="29" t="s">
        <v>48</v>
      </c>
      <c r="J114" s="19"/>
      <c r="K114" s="28" t="s">
        <v>53</v>
      </c>
      <c r="L114" s="30">
        <f>L110+L112</f>
        <v>150000</v>
      </c>
      <c r="M114" s="28" t="s">
        <v>54</v>
      </c>
      <c r="N114" s="30">
        <f>N110</f>
        <v>8325</v>
      </c>
      <c r="O114" s="30">
        <f>O110+O112</f>
        <v>141675</v>
      </c>
    </row>
    <row r="115">
      <c r="A115" s="9"/>
      <c r="B115" s="17" t="s">
        <v>55</v>
      </c>
      <c r="C115" s="31"/>
      <c r="D115" s="32"/>
      <c r="E115" s="32"/>
      <c r="F115" s="19"/>
      <c r="G115" s="21" t="s">
        <v>40</v>
      </c>
      <c r="H115" s="22"/>
      <c r="I115" s="9"/>
      <c r="J115" s="17" t="s">
        <v>55</v>
      </c>
      <c r="K115" s="31"/>
      <c r="L115" s="32"/>
      <c r="M115" s="32"/>
      <c r="N115" s="19"/>
      <c r="O115" s="21" t="s">
        <v>40</v>
      </c>
    </row>
    <row r="116">
      <c r="A116" s="9"/>
      <c r="B116" s="24" t="s">
        <v>56</v>
      </c>
      <c r="C116" s="24" t="s">
        <v>57</v>
      </c>
      <c r="D116" s="33"/>
      <c r="E116" s="34"/>
      <c r="F116" s="35"/>
      <c r="G116" s="25">
        <f>G114-G118-G120</f>
        <v>67200</v>
      </c>
      <c r="H116" s="22"/>
      <c r="I116" s="9"/>
      <c r="J116" s="24" t="s">
        <v>56</v>
      </c>
      <c r="K116" s="24" t="s">
        <v>57</v>
      </c>
      <c r="L116" s="33"/>
      <c r="M116" s="34"/>
      <c r="N116" s="35"/>
      <c r="O116" s="25">
        <f>O114-O118-O120</f>
        <v>70175</v>
      </c>
    </row>
    <row r="117">
      <c r="A117" s="9"/>
      <c r="B117" s="36"/>
      <c r="C117" s="19"/>
      <c r="D117" s="37"/>
      <c r="F117" s="38"/>
      <c r="G117" s="25"/>
      <c r="H117" s="22"/>
      <c r="I117" s="9"/>
      <c r="J117" s="36"/>
      <c r="K117" s="19"/>
      <c r="L117" s="37"/>
      <c r="N117" s="38"/>
      <c r="O117" s="25"/>
    </row>
    <row r="118">
      <c r="A118" s="9"/>
      <c r="B118" s="24" t="s">
        <v>58</v>
      </c>
      <c r="C118" s="24" t="s">
        <v>59</v>
      </c>
      <c r="D118" s="37"/>
      <c r="F118" s="38"/>
      <c r="G118" s="25">
        <f>B90</f>
        <v>-9362.5</v>
      </c>
      <c r="H118" s="22"/>
      <c r="I118" s="9"/>
      <c r="J118" s="24" t="s">
        <v>58</v>
      </c>
      <c r="K118" s="24" t="s">
        <v>59</v>
      </c>
      <c r="L118" s="37"/>
      <c r="N118" s="38"/>
      <c r="O118" s="25" t="str">
        <f>J90</f>
        <v/>
      </c>
    </row>
    <row r="119">
      <c r="A119" s="9"/>
      <c r="B119" s="36"/>
      <c r="C119" s="19"/>
      <c r="D119" s="37"/>
      <c r="F119" s="38"/>
      <c r="G119" s="25"/>
      <c r="H119" s="22"/>
      <c r="I119" s="9"/>
      <c r="J119" s="36"/>
      <c r="K119" s="19"/>
      <c r="L119" s="37"/>
      <c r="N119" s="38"/>
      <c r="O119" s="25"/>
    </row>
    <row r="120">
      <c r="A120" s="9"/>
      <c r="B120" s="24" t="s">
        <v>60</v>
      </c>
      <c r="C120" s="24" t="s">
        <v>61</v>
      </c>
      <c r="D120" s="37"/>
      <c r="F120" s="38"/>
      <c r="G120" s="39">
        <f>88000</f>
        <v>88000</v>
      </c>
      <c r="H120" s="22"/>
      <c r="I120" s="9"/>
      <c r="J120" s="24" t="s">
        <v>60</v>
      </c>
      <c r="K120" s="24" t="s">
        <v>61</v>
      </c>
      <c r="L120" s="37"/>
      <c r="N120" s="38"/>
      <c r="O120" s="39">
        <f>71500</f>
        <v>71500</v>
      </c>
    </row>
    <row r="121">
      <c r="A121" s="9"/>
      <c r="B121" s="24" t="s">
        <v>62</v>
      </c>
      <c r="C121" s="24" t="s">
        <v>63</v>
      </c>
      <c r="D121" s="37"/>
      <c r="F121" s="38"/>
      <c r="G121" s="25">
        <f>G120</f>
        <v>88000</v>
      </c>
      <c r="H121" s="22"/>
      <c r="I121" s="9"/>
      <c r="J121" s="24" t="s">
        <v>62</v>
      </c>
      <c r="K121" s="24" t="s">
        <v>63</v>
      </c>
      <c r="L121" s="37"/>
      <c r="N121" s="38"/>
      <c r="O121" s="25">
        <f>O120</f>
        <v>71500</v>
      </c>
    </row>
    <row r="122">
      <c r="A122" s="9"/>
      <c r="B122" s="24" t="s">
        <v>64</v>
      </c>
      <c r="C122" s="24" t="s">
        <v>65</v>
      </c>
      <c r="D122" s="40"/>
      <c r="E122" s="41"/>
      <c r="F122" s="42"/>
      <c r="G122" s="30">
        <f>SUM(G116:G120)</f>
        <v>145837.5</v>
      </c>
      <c r="H122" s="22"/>
      <c r="I122" s="9"/>
      <c r="J122" s="24" t="s">
        <v>64</v>
      </c>
      <c r="K122" s="24" t="s">
        <v>65</v>
      </c>
      <c r="L122" s="40"/>
      <c r="M122" s="41"/>
      <c r="N122" s="42"/>
      <c r="O122" s="30">
        <f>SUM(O116:O120)</f>
        <v>141675</v>
      </c>
    </row>
    <row r="125">
      <c r="A125" s="7" t="s">
        <v>273</v>
      </c>
    </row>
    <row r="128">
      <c r="A128" s="16" t="s">
        <v>66</v>
      </c>
      <c r="E128" s="43" t="s">
        <v>67</v>
      </c>
      <c r="F128" s="44" t="str">
        <f> IF(((B88 - B83) + C143)=B102,"C'est bon","C'est pas bon")</f>
        <v>C'est pas bon</v>
      </c>
      <c r="J128" s="43" t="s">
        <v>67</v>
      </c>
      <c r="K128" s="44" t="str">
        <f> IF(((E88 - E83) + I143)=E102,"C'est bon","C'est pas bon")</f>
        <v>C'est bon</v>
      </c>
    </row>
    <row r="129">
      <c r="B129" s="13">
        <f>F13</f>
        <v>2025</v>
      </c>
      <c r="H129" s="13">
        <f>F13+1</f>
        <v>2026</v>
      </c>
    </row>
    <row r="130">
      <c r="A130" s="45" t="s">
        <v>68</v>
      </c>
      <c r="B130" s="46"/>
      <c r="C130" s="32"/>
      <c r="D130" s="32"/>
      <c r="E130" s="19"/>
      <c r="G130" s="45" t="s">
        <v>68</v>
      </c>
      <c r="H130" s="46"/>
      <c r="I130" s="32"/>
      <c r="J130" s="32"/>
      <c r="K130" s="19"/>
    </row>
    <row r="131">
      <c r="A131" s="8" t="s">
        <v>69</v>
      </c>
      <c r="B131" s="8" t="s">
        <v>70</v>
      </c>
      <c r="C131" s="9">
        <f>B84</f>
        <v>8000</v>
      </c>
      <c r="D131" s="47"/>
      <c r="E131" s="35"/>
      <c r="G131" s="8" t="s">
        <v>69</v>
      </c>
      <c r="H131" s="8" t="s">
        <v>70</v>
      </c>
      <c r="I131" s="9">
        <f>E84</f>
        <v>8000</v>
      </c>
      <c r="J131" s="47"/>
      <c r="K131" s="35"/>
    </row>
    <row r="132">
      <c r="A132" s="8" t="s">
        <v>71</v>
      </c>
      <c r="B132" s="8" t="s">
        <v>72</v>
      </c>
      <c r="C132" s="9">
        <f>C131</f>
        <v>8000</v>
      </c>
      <c r="D132" s="37"/>
      <c r="E132" s="38"/>
      <c r="G132" s="8" t="s">
        <v>71</v>
      </c>
      <c r="H132" s="8" t="s">
        <v>72</v>
      </c>
      <c r="I132" s="9">
        <f>I131</f>
        <v>8000</v>
      </c>
      <c r="J132" s="37"/>
      <c r="K132" s="38"/>
    </row>
    <row r="133">
      <c r="A133" s="8" t="s">
        <v>73</v>
      </c>
      <c r="B133" s="8" t="s">
        <v>74</v>
      </c>
      <c r="C133" s="9">
        <f t="shared" ref="C133:C134" si="126">B85</f>
        <v>10200</v>
      </c>
      <c r="D133" s="37"/>
      <c r="E133" s="38"/>
      <c r="G133" s="8" t="s">
        <v>73</v>
      </c>
      <c r="H133" s="8" t="s">
        <v>74</v>
      </c>
      <c r="I133" s="9">
        <f t="shared" ref="I133:I134" si="127">E85</f>
        <v>1200</v>
      </c>
      <c r="J133" s="37"/>
      <c r="K133" s="38"/>
    </row>
    <row r="134">
      <c r="A134" s="8" t="s">
        <v>75</v>
      </c>
      <c r="B134" s="8" t="s">
        <v>76</v>
      </c>
      <c r="C134" s="9">
        <f t="shared" si="126"/>
        <v>0</v>
      </c>
      <c r="D134" s="37"/>
      <c r="E134" s="38"/>
      <c r="G134" s="8" t="s">
        <v>75</v>
      </c>
      <c r="H134" s="8" t="s">
        <v>76</v>
      </c>
      <c r="I134" s="9">
        <f t="shared" si="127"/>
        <v>0</v>
      </c>
      <c r="J134" s="37"/>
      <c r="K134" s="38"/>
    </row>
    <row r="135">
      <c r="A135" s="8" t="s">
        <v>77</v>
      </c>
      <c r="B135" s="8" t="s">
        <v>78</v>
      </c>
      <c r="C135" s="9">
        <f>B83</f>
        <v>4162.5</v>
      </c>
      <c r="D135" s="37"/>
      <c r="E135" s="38"/>
      <c r="G135" s="8" t="s">
        <v>77</v>
      </c>
      <c r="H135" s="8" t="s">
        <v>78</v>
      </c>
      <c r="I135" s="9">
        <f>E83</f>
        <v>4162.5</v>
      </c>
      <c r="J135" s="37"/>
      <c r="K135" s="38"/>
    </row>
    <row r="136">
      <c r="A136" s="8" t="s">
        <v>79</v>
      </c>
      <c r="B136" s="8" t="s">
        <v>80</v>
      </c>
      <c r="C136" s="9">
        <f>SUM(C133:C135)</f>
        <v>14362.5</v>
      </c>
      <c r="D136" s="37"/>
      <c r="E136" s="38"/>
      <c r="G136" s="8" t="s">
        <v>79</v>
      </c>
      <c r="H136" s="8" t="s">
        <v>80</v>
      </c>
      <c r="I136" s="9">
        <f>SUM(I133:I135)</f>
        <v>5362.5</v>
      </c>
      <c r="J136" s="37"/>
      <c r="K136" s="38"/>
    </row>
    <row r="137">
      <c r="A137" s="8" t="s">
        <v>81</v>
      </c>
      <c r="B137" s="8" t="s">
        <v>82</v>
      </c>
      <c r="C137" s="9">
        <f>C132-C136</f>
        <v>-6362.5</v>
      </c>
      <c r="D137" s="37"/>
      <c r="E137" s="38"/>
      <c r="G137" s="8" t="s">
        <v>81</v>
      </c>
      <c r="H137" s="8" t="s">
        <v>82</v>
      </c>
      <c r="I137" s="9">
        <f>I132-I136</f>
        <v>2637.5</v>
      </c>
      <c r="J137" s="37"/>
      <c r="K137" s="38"/>
    </row>
    <row r="138">
      <c r="A138" s="8" t="s">
        <v>83</v>
      </c>
      <c r="B138" s="8" t="s">
        <v>84</v>
      </c>
      <c r="C138" s="9">
        <f>B87</f>
        <v>3000</v>
      </c>
      <c r="D138" s="37"/>
      <c r="E138" s="38"/>
      <c r="G138" s="8" t="s">
        <v>83</v>
      </c>
      <c r="H138" s="8" t="s">
        <v>84</v>
      </c>
      <c r="I138" s="9">
        <f>E87</f>
        <v>3000</v>
      </c>
      <c r="J138" s="37"/>
      <c r="K138" s="38"/>
    </row>
    <row r="139">
      <c r="A139" s="8" t="s">
        <v>85</v>
      </c>
      <c r="B139" s="8" t="s">
        <v>86</v>
      </c>
      <c r="C139" s="9">
        <f>B90</f>
        <v>-9362.5</v>
      </c>
      <c r="D139" s="40"/>
      <c r="E139" s="42"/>
      <c r="G139" s="8" t="s">
        <v>85</v>
      </c>
      <c r="H139" s="8" t="s">
        <v>86</v>
      </c>
      <c r="I139" s="9">
        <f>E90</f>
        <v>-362.5</v>
      </c>
      <c r="J139" s="40"/>
      <c r="K139" s="42"/>
    </row>
    <row r="140">
      <c r="A140" s="48" t="s">
        <v>87</v>
      </c>
      <c r="B140" s="46"/>
      <c r="C140" s="32"/>
      <c r="D140" s="32"/>
      <c r="E140" s="19"/>
      <c r="G140" s="48" t="s">
        <v>87</v>
      </c>
      <c r="H140" s="46"/>
      <c r="I140" s="32"/>
      <c r="J140" s="32"/>
      <c r="K140" s="19"/>
    </row>
    <row r="141">
      <c r="A141" s="8" t="s">
        <v>88</v>
      </c>
      <c r="B141" s="8" t="s">
        <v>89</v>
      </c>
      <c r="C141" s="9">
        <f>Max(0,C139)</f>
        <v>0</v>
      </c>
      <c r="D141" s="8" t="s">
        <v>90</v>
      </c>
      <c r="E141" s="9">
        <f>-MIN(0,C139)</f>
        <v>9362.5</v>
      </c>
      <c r="G141" s="8" t="s">
        <v>88</v>
      </c>
      <c r="H141" s="8" t="s">
        <v>89</v>
      </c>
      <c r="I141" s="9">
        <f>Max(0,I139)</f>
        <v>0</v>
      </c>
      <c r="J141" s="8" t="s">
        <v>90</v>
      </c>
      <c r="K141" s="9">
        <f>-MIN(0,I139)</f>
        <v>362.5</v>
      </c>
    </row>
    <row r="142">
      <c r="A142" s="8" t="s">
        <v>91</v>
      </c>
      <c r="B142" s="8" t="s">
        <v>92</v>
      </c>
      <c r="C142" s="9">
        <f>B91</f>
        <v>4162.5</v>
      </c>
      <c r="D142" s="8" t="s">
        <v>93</v>
      </c>
      <c r="E142" s="9">
        <f>IF(B88 &gt; 0 , MIN(B88 , B83) , 0)</f>
        <v>0</v>
      </c>
      <c r="G142" s="8" t="s">
        <v>91</v>
      </c>
      <c r="H142" s="8" t="s">
        <v>92</v>
      </c>
      <c r="I142" s="9">
        <f>E91</f>
        <v>362.5</v>
      </c>
      <c r="J142" s="8" t="s">
        <v>93</v>
      </c>
      <c r="K142" s="9">
        <f>IF(E88 &gt; 0 , MIN(E88 , E83) , 0)</f>
        <v>3800</v>
      </c>
    </row>
    <row r="143">
      <c r="A143" s="14" t="s">
        <v>94</v>
      </c>
      <c r="B143" s="8" t="s">
        <v>95</v>
      </c>
      <c r="C143" s="9">
        <f>B91</f>
        <v>4162.5</v>
      </c>
      <c r="D143" s="8" t="s">
        <v>96</v>
      </c>
      <c r="E143" s="9">
        <f>IF(B88 &lt; 0 , ABS(B88) , 0)</f>
        <v>5200</v>
      </c>
      <c r="G143" s="14" t="s">
        <v>94</v>
      </c>
      <c r="H143" s="8" t="s">
        <v>95</v>
      </c>
      <c r="I143" s="9">
        <f>E91</f>
        <v>362.5</v>
      </c>
      <c r="J143" s="8" t="s">
        <v>96</v>
      </c>
      <c r="K143" s="9">
        <f>IF(E88 &lt; 0 , ABS(E88) , 0)</f>
        <v>0</v>
      </c>
    </row>
    <row r="144">
      <c r="A144" s="8" t="s">
        <v>97</v>
      </c>
      <c r="B144" s="8" t="s">
        <v>98</v>
      </c>
      <c r="C144" s="9">
        <f>IF(B97&gt;0,B97,0)</f>
        <v>0</v>
      </c>
      <c r="D144" s="8" t="s">
        <v>99</v>
      </c>
      <c r="E144" s="9">
        <f>IF(B97&lt;0,-B97,0)</f>
        <v>5200</v>
      </c>
      <c r="G144" s="8" t="s">
        <v>97</v>
      </c>
      <c r="H144" s="8" t="s">
        <v>98</v>
      </c>
      <c r="I144" s="9">
        <f>IF(E97&gt;0,E97,0)</f>
        <v>0</v>
      </c>
      <c r="J144" s="8" t="s">
        <v>99</v>
      </c>
      <c r="K144" s="9">
        <f>IF(E97&lt;0,-E97,0)</f>
        <v>0</v>
      </c>
    </row>
    <row r="145">
      <c r="A145" s="8" t="s">
        <v>100</v>
      </c>
      <c r="B145" s="8" t="s">
        <v>101</v>
      </c>
      <c r="C145" s="9">
        <f>MAX(0 , B88 - B83)</f>
        <v>0</v>
      </c>
      <c r="D145" s="8" t="s">
        <v>102</v>
      </c>
      <c r="E145" s="9">
        <f>IF(B102&lt;0,-B102,0)</f>
        <v>0</v>
      </c>
      <c r="G145" s="8" t="s">
        <v>103</v>
      </c>
      <c r="H145" s="8" t="s">
        <v>101</v>
      </c>
      <c r="I145" s="9">
        <f>MAX(0 , E88 - E83)</f>
        <v>0</v>
      </c>
      <c r="J145" s="8" t="s">
        <v>102</v>
      </c>
      <c r="K145" s="9">
        <f>IF(E102&lt;0,-E102,0)</f>
        <v>0</v>
      </c>
    </row>
    <row r="147">
      <c r="A147" s="16" t="s">
        <v>104</v>
      </c>
    </row>
    <row r="148">
      <c r="A148" s="49" t="s">
        <v>105</v>
      </c>
    </row>
    <row r="150">
      <c r="A150" s="50" t="s">
        <v>106</v>
      </c>
      <c r="B150" s="51">
        <f>F13</f>
        <v>2025</v>
      </c>
      <c r="K150" s="50" t="s">
        <v>106</v>
      </c>
      <c r="L150" s="51">
        <f>F13+1</f>
        <v>2026</v>
      </c>
    </row>
    <row r="152">
      <c r="A152" s="9"/>
      <c r="B152" s="52" t="s">
        <v>107</v>
      </c>
      <c r="C152" s="19"/>
      <c r="D152" s="53" t="s">
        <v>108</v>
      </c>
      <c r="E152" s="19"/>
      <c r="F152" s="53" t="s">
        <v>109</v>
      </c>
      <c r="G152" s="19"/>
      <c r="H152" s="54" t="s">
        <v>110</v>
      </c>
      <c r="I152" s="19"/>
      <c r="K152" s="9"/>
      <c r="L152" s="52" t="s">
        <v>107</v>
      </c>
      <c r="M152" s="19"/>
      <c r="N152" s="53" t="s">
        <v>108</v>
      </c>
      <c r="O152" s="19"/>
      <c r="P152" s="53" t="s">
        <v>109</v>
      </c>
      <c r="Q152" s="19"/>
      <c r="R152" s="54" t="s">
        <v>110</v>
      </c>
      <c r="S152" s="19"/>
    </row>
    <row r="153">
      <c r="A153" s="8" t="s">
        <v>111</v>
      </c>
      <c r="B153" s="8" t="s">
        <v>112</v>
      </c>
      <c r="C153" s="8">
        <v>0.0</v>
      </c>
      <c r="D153" s="8" t="s">
        <v>113</v>
      </c>
      <c r="E153" s="9">
        <f>IF(F13=B13,B9*B15,0)</f>
        <v>22500</v>
      </c>
      <c r="F153" s="8" t="s">
        <v>114</v>
      </c>
      <c r="G153" s="8">
        <v>0.0</v>
      </c>
      <c r="H153" s="8" t="s">
        <v>115</v>
      </c>
      <c r="I153" s="9">
        <f t="shared" ref="I153:I158" si="128">C153+E153+G153</f>
        <v>22500</v>
      </c>
      <c r="K153" s="8" t="s">
        <v>111</v>
      </c>
      <c r="L153" s="8" t="s">
        <v>112</v>
      </c>
      <c r="M153" s="8">
        <f t="shared" ref="M153:M157" si="129">I153</f>
        <v>22500</v>
      </c>
      <c r="N153" s="8" t="s">
        <v>113</v>
      </c>
      <c r="O153" s="8">
        <v>0.0</v>
      </c>
      <c r="P153" s="8" t="s">
        <v>114</v>
      </c>
      <c r="Q153" s="8">
        <v>0.0</v>
      </c>
      <c r="R153" s="8" t="s">
        <v>115</v>
      </c>
      <c r="S153" s="9">
        <f t="shared" ref="S153:S158" si="130">M153+O153+Q153</f>
        <v>22500</v>
      </c>
    </row>
    <row r="154">
      <c r="A154" s="8" t="s">
        <v>116</v>
      </c>
      <c r="B154" s="8" t="s">
        <v>117</v>
      </c>
      <c r="C154" s="8">
        <v>0.0</v>
      </c>
      <c r="D154" s="8" t="s">
        <v>118</v>
      </c>
      <c r="E154" s="9">
        <f>IF(F13=B13,B9*(B16+B17),0)</f>
        <v>82500</v>
      </c>
      <c r="F154" s="8" t="s">
        <v>119</v>
      </c>
      <c r="G154" s="8">
        <v>0.0</v>
      </c>
      <c r="H154" s="8" t="s">
        <v>120</v>
      </c>
      <c r="I154" s="9">
        <f t="shared" si="128"/>
        <v>82500</v>
      </c>
      <c r="K154" s="8" t="s">
        <v>116</v>
      </c>
      <c r="L154" s="8" t="s">
        <v>117</v>
      </c>
      <c r="M154" s="8">
        <f t="shared" si="129"/>
        <v>82500</v>
      </c>
      <c r="N154" s="8" t="s">
        <v>118</v>
      </c>
      <c r="O154" s="8">
        <v>0.0</v>
      </c>
      <c r="P154" s="8" t="s">
        <v>119</v>
      </c>
      <c r="Q154" s="8">
        <v>0.0</v>
      </c>
      <c r="R154" s="8" t="s">
        <v>120</v>
      </c>
      <c r="S154" s="9">
        <f t="shared" si="130"/>
        <v>82500</v>
      </c>
    </row>
    <row r="155">
      <c r="A155" s="8" t="s">
        <v>121</v>
      </c>
      <c r="B155" s="8" t="s">
        <v>122</v>
      </c>
      <c r="C155" s="8">
        <v>0.0</v>
      </c>
      <c r="D155" s="8" t="s">
        <v>123</v>
      </c>
      <c r="E155" s="9">
        <f>IF(F13=B13,B9*B18,0)</f>
        <v>22500</v>
      </c>
      <c r="F155" s="8" t="s">
        <v>124</v>
      </c>
      <c r="G155" s="8">
        <v>0.0</v>
      </c>
      <c r="H155" s="8" t="s">
        <v>125</v>
      </c>
      <c r="I155" s="9">
        <f t="shared" si="128"/>
        <v>22500</v>
      </c>
      <c r="K155" s="8" t="s">
        <v>121</v>
      </c>
      <c r="L155" s="8" t="s">
        <v>122</v>
      </c>
      <c r="M155" s="8">
        <f t="shared" si="129"/>
        <v>22500</v>
      </c>
      <c r="N155" s="8" t="s">
        <v>123</v>
      </c>
      <c r="O155" s="8">
        <v>0.0</v>
      </c>
      <c r="P155" s="8" t="s">
        <v>124</v>
      </c>
      <c r="Q155" s="8">
        <v>0.0</v>
      </c>
      <c r="R155" s="8" t="s">
        <v>125</v>
      </c>
      <c r="S155" s="9">
        <f t="shared" si="130"/>
        <v>22500</v>
      </c>
    </row>
    <row r="156">
      <c r="A156" s="8" t="s">
        <v>126</v>
      </c>
      <c r="B156" s="8" t="s">
        <v>127</v>
      </c>
      <c r="C156" s="8">
        <v>0.0</v>
      </c>
      <c r="D156" s="8" t="s">
        <v>128</v>
      </c>
      <c r="E156" s="9">
        <f>IF(F13=B13,B9*B19,0)</f>
        <v>22500</v>
      </c>
      <c r="F156" s="8" t="s">
        <v>129</v>
      </c>
      <c r="G156" s="8">
        <v>0.0</v>
      </c>
      <c r="H156" s="8" t="s">
        <v>130</v>
      </c>
      <c r="I156" s="9">
        <f t="shared" si="128"/>
        <v>22500</v>
      </c>
      <c r="K156" s="8" t="s">
        <v>126</v>
      </c>
      <c r="L156" s="8" t="s">
        <v>127</v>
      </c>
      <c r="M156" s="8">
        <f t="shared" si="129"/>
        <v>22500</v>
      </c>
      <c r="N156" s="8" t="s">
        <v>128</v>
      </c>
      <c r="O156" s="8">
        <v>0.0</v>
      </c>
      <c r="P156" s="8" t="s">
        <v>129</v>
      </c>
      <c r="Q156" s="8">
        <v>0.0</v>
      </c>
      <c r="R156" s="8" t="s">
        <v>130</v>
      </c>
      <c r="S156" s="9">
        <f t="shared" si="130"/>
        <v>22500</v>
      </c>
    </row>
    <row r="157">
      <c r="A157" s="8" t="s">
        <v>131</v>
      </c>
      <c r="B157" s="8" t="s">
        <v>132</v>
      </c>
      <c r="C157" s="8">
        <v>0.0</v>
      </c>
      <c r="D157" s="8" t="s">
        <v>133</v>
      </c>
      <c r="E157" s="9">
        <f>IF(F13=B13,B20,0)</f>
        <v>0</v>
      </c>
      <c r="F157" s="8" t="s">
        <v>134</v>
      </c>
      <c r="G157" s="8">
        <v>0.0</v>
      </c>
      <c r="H157" s="8" t="s">
        <v>135</v>
      </c>
      <c r="I157" s="9">
        <f t="shared" si="128"/>
        <v>0</v>
      </c>
      <c r="K157" s="8" t="s">
        <v>131</v>
      </c>
      <c r="L157" s="8" t="s">
        <v>132</v>
      </c>
      <c r="M157" s="8">
        <f t="shared" si="129"/>
        <v>0</v>
      </c>
      <c r="N157" s="8" t="s">
        <v>133</v>
      </c>
      <c r="O157" s="8">
        <v>0.0</v>
      </c>
      <c r="P157" s="8" t="s">
        <v>134</v>
      </c>
      <c r="Q157" s="8">
        <v>0.0</v>
      </c>
      <c r="R157" s="8" t="s">
        <v>135</v>
      </c>
      <c r="S157" s="9">
        <f t="shared" si="130"/>
        <v>0</v>
      </c>
    </row>
    <row r="158">
      <c r="A158" s="8" t="s">
        <v>136</v>
      </c>
      <c r="B158" s="8" t="s">
        <v>137</v>
      </c>
      <c r="C158" s="8">
        <v>0.0</v>
      </c>
      <c r="D158" s="8" t="s">
        <v>138</v>
      </c>
      <c r="E158" s="8">
        <v>0.0</v>
      </c>
      <c r="F158" s="8" t="s">
        <v>139</v>
      </c>
      <c r="G158" s="8">
        <v>0.0</v>
      </c>
      <c r="H158" s="8" t="s">
        <v>140</v>
      </c>
      <c r="I158" s="9">
        <f t="shared" si="128"/>
        <v>0</v>
      </c>
      <c r="K158" s="8" t="s">
        <v>136</v>
      </c>
      <c r="L158" s="8" t="s">
        <v>137</v>
      </c>
      <c r="M158" s="8">
        <v>0.0</v>
      </c>
      <c r="N158" s="8" t="s">
        <v>138</v>
      </c>
      <c r="O158" s="8">
        <v>0.0</v>
      </c>
      <c r="P158" s="8" t="s">
        <v>139</v>
      </c>
      <c r="Q158" s="8">
        <v>0.0</v>
      </c>
      <c r="R158" s="8" t="s">
        <v>140</v>
      </c>
      <c r="S158" s="9">
        <f t="shared" si="130"/>
        <v>0</v>
      </c>
    </row>
    <row r="159">
      <c r="A159" s="8" t="s">
        <v>48</v>
      </c>
      <c r="B159" s="8" t="s">
        <v>141</v>
      </c>
      <c r="C159" s="8">
        <v>0.0</v>
      </c>
      <c r="D159" s="8" t="s">
        <v>142</v>
      </c>
      <c r="E159" s="9">
        <f>SUM(E153:E158)</f>
        <v>150000</v>
      </c>
      <c r="F159" s="8" t="s">
        <v>143</v>
      </c>
      <c r="G159" s="8">
        <v>0.0</v>
      </c>
      <c r="H159" s="8" t="s">
        <v>144</v>
      </c>
      <c r="I159" s="9">
        <f>SUM(I153:I158)</f>
        <v>150000</v>
      </c>
      <c r="K159" s="8" t="s">
        <v>48</v>
      </c>
      <c r="L159" s="8" t="s">
        <v>141</v>
      </c>
      <c r="M159" s="8">
        <f>SUM(M153:M158)</f>
        <v>150000</v>
      </c>
      <c r="N159" s="8" t="s">
        <v>142</v>
      </c>
      <c r="O159" s="8">
        <v>0.0</v>
      </c>
      <c r="P159" s="8" t="s">
        <v>143</v>
      </c>
      <c r="Q159" s="8">
        <v>0.0</v>
      </c>
      <c r="R159" s="8" t="s">
        <v>144</v>
      </c>
      <c r="S159" s="9">
        <f>SUM(S153:S158)</f>
        <v>150000</v>
      </c>
    </row>
    <row r="161">
      <c r="A161" s="55" t="s">
        <v>145</v>
      </c>
    </row>
    <row r="162">
      <c r="B162" s="13">
        <f>F13</f>
        <v>2025</v>
      </c>
      <c r="L162" s="13">
        <f>F13+1</f>
        <v>2026</v>
      </c>
    </row>
    <row r="163">
      <c r="A163" s="9"/>
      <c r="B163" s="52" t="s">
        <v>146</v>
      </c>
      <c r="C163" s="19"/>
      <c r="D163" s="56" t="s">
        <v>147</v>
      </c>
      <c r="E163" s="19"/>
      <c r="F163" s="56" t="s">
        <v>109</v>
      </c>
      <c r="G163" s="19"/>
      <c r="H163" s="54" t="s">
        <v>110</v>
      </c>
      <c r="I163" s="19"/>
      <c r="K163" s="9"/>
      <c r="L163" s="52" t="s">
        <v>146</v>
      </c>
      <c r="M163" s="19"/>
      <c r="N163" s="56" t="s">
        <v>147</v>
      </c>
      <c r="O163" s="19"/>
      <c r="P163" s="56" t="s">
        <v>109</v>
      </c>
      <c r="Q163" s="19"/>
      <c r="R163" s="54" t="s">
        <v>110</v>
      </c>
      <c r="S163" s="19"/>
    </row>
    <row r="164">
      <c r="A164" s="8" t="s">
        <v>148</v>
      </c>
      <c r="B164" s="8" t="s">
        <v>149</v>
      </c>
      <c r="C164" s="8">
        <v>0.0</v>
      </c>
      <c r="D164" s="8" t="s">
        <v>150</v>
      </c>
      <c r="E164" s="8">
        <v>0.0</v>
      </c>
      <c r="F164" s="8" t="s">
        <v>151</v>
      </c>
      <c r="G164" s="8">
        <v>0.0</v>
      </c>
      <c r="H164" s="8" t="s">
        <v>152</v>
      </c>
      <c r="I164" s="9">
        <f t="shared" ref="I164:I169" si="131">C164+E164+G164</f>
        <v>0</v>
      </c>
      <c r="K164" s="8" t="s">
        <v>148</v>
      </c>
      <c r="L164" s="8" t="s">
        <v>149</v>
      </c>
      <c r="M164" s="8">
        <f t="shared" ref="M164:M169" si="132">I164</f>
        <v>0</v>
      </c>
      <c r="N164" s="8" t="s">
        <v>150</v>
      </c>
      <c r="O164" s="8">
        <v>0.0</v>
      </c>
      <c r="P164" s="8" t="s">
        <v>151</v>
      </c>
      <c r="Q164" s="8">
        <v>0.0</v>
      </c>
      <c r="R164" s="8" t="s">
        <v>152</v>
      </c>
      <c r="S164" s="9">
        <f t="shared" ref="S164:S169" si="133">M164+O164+Q164</f>
        <v>0</v>
      </c>
    </row>
    <row r="165">
      <c r="A165" s="8" t="s">
        <v>111</v>
      </c>
      <c r="B165" s="8" t="s">
        <v>153</v>
      </c>
      <c r="C165" s="8">
        <v>0.0</v>
      </c>
      <c r="D165" s="8" t="s">
        <v>154</v>
      </c>
      <c r="E165" s="8">
        <v>0.0</v>
      </c>
      <c r="F165" s="8" t="s">
        <v>155</v>
      </c>
      <c r="G165" s="8">
        <v>0.0</v>
      </c>
      <c r="H165" s="8" t="s">
        <v>156</v>
      </c>
      <c r="I165" s="9">
        <f t="shared" si="131"/>
        <v>0</v>
      </c>
      <c r="K165" s="8" t="s">
        <v>111</v>
      </c>
      <c r="L165" s="8" t="s">
        <v>153</v>
      </c>
      <c r="M165" s="8">
        <f t="shared" si="132"/>
        <v>0</v>
      </c>
      <c r="N165" s="8" t="s">
        <v>154</v>
      </c>
      <c r="O165" s="8">
        <v>0.0</v>
      </c>
      <c r="P165" s="8" t="s">
        <v>155</v>
      </c>
      <c r="Q165" s="8">
        <v>0.0</v>
      </c>
      <c r="R165" s="8" t="s">
        <v>156</v>
      </c>
      <c r="S165" s="9">
        <f t="shared" si="133"/>
        <v>0</v>
      </c>
    </row>
    <row r="166">
      <c r="A166" s="8" t="s">
        <v>116</v>
      </c>
      <c r="B166" s="8" t="s">
        <v>157</v>
      </c>
      <c r="C166" s="8">
        <v>0.0</v>
      </c>
      <c r="D166" s="8" t="s">
        <v>158</v>
      </c>
      <c r="E166" s="9">
        <f t="array" ref="E166">Indirect(ADDRESS(H13,8))</f>
        <v>1762.5</v>
      </c>
      <c r="F166" s="8" t="s">
        <v>159</v>
      </c>
      <c r="G166" s="8">
        <v>0.0</v>
      </c>
      <c r="H166" s="8" t="s">
        <v>160</v>
      </c>
      <c r="I166" s="9">
        <f t="shared" si="131"/>
        <v>1762.5</v>
      </c>
      <c r="K166" s="8" t="s">
        <v>116</v>
      </c>
      <c r="L166" s="8" t="s">
        <v>157</v>
      </c>
      <c r="M166" s="8">
        <f t="shared" si="132"/>
        <v>1762.5</v>
      </c>
      <c r="N166" s="8" t="s">
        <v>158</v>
      </c>
      <c r="O166" s="9">
        <f t="array" ref="O166">Indirect(ADDRESS(H13+1,8))</f>
        <v>1762.5</v>
      </c>
      <c r="P166" s="8" t="s">
        <v>159</v>
      </c>
      <c r="Q166" s="8">
        <v>0.0</v>
      </c>
      <c r="R166" s="8" t="s">
        <v>160</v>
      </c>
      <c r="S166" s="9">
        <f t="shared" si="133"/>
        <v>3525</v>
      </c>
    </row>
    <row r="167">
      <c r="A167" s="8" t="s">
        <v>121</v>
      </c>
      <c r="B167" s="8" t="s">
        <v>161</v>
      </c>
      <c r="C167" s="8">
        <v>0.0</v>
      </c>
      <c r="D167" s="8" t="s">
        <v>162</v>
      </c>
      <c r="E167" s="9">
        <f t="array" ref="E167">Indirect(ADDRESS(H13,4))</f>
        <v>900</v>
      </c>
      <c r="F167" s="8" t="s">
        <v>163</v>
      </c>
      <c r="G167" s="8">
        <v>0.0</v>
      </c>
      <c r="H167" s="8" t="s">
        <v>164</v>
      </c>
      <c r="I167" s="9">
        <f t="shared" si="131"/>
        <v>900</v>
      </c>
      <c r="K167" s="8" t="s">
        <v>121</v>
      </c>
      <c r="L167" s="8" t="s">
        <v>161</v>
      </c>
      <c r="M167" s="8">
        <f t="shared" si="132"/>
        <v>900</v>
      </c>
      <c r="N167" s="8" t="s">
        <v>162</v>
      </c>
      <c r="O167" s="9">
        <f t="array" ref="O167">Indirect(ADDRESS(H13+1,4))</f>
        <v>900</v>
      </c>
      <c r="P167" s="8" t="s">
        <v>163</v>
      </c>
      <c r="Q167" s="8">
        <v>0.0</v>
      </c>
      <c r="R167" s="8" t="s">
        <v>164</v>
      </c>
      <c r="S167" s="9">
        <f t="shared" si="133"/>
        <v>1800</v>
      </c>
    </row>
    <row r="168">
      <c r="A168" s="8" t="s">
        <v>126</v>
      </c>
      <c r="B168" s="8" t="s">
        <v>165</v>
      </c>
      <c r="C168" s="8">
        <v>0.0</v>
      </c>
      <c r="D168" s="8" t="s">
        <v>166</v>
      </c>
      <c r="E168" s="9">
        <f t="array" ref="E168">Indirect(ADDRESS(H13,5))</f>
        <v>1500</v>
      </c>
      <c r="F168" s="8" t="s">
        <v>167</v>
      </c>
      <c r="G168" s="8">
        <v>0.0</v>
      </c>
      <c r="H168" s="8" t="s">
        <v>168</v>
      </c>
      <c r="I168" s="9">
        <f t="shared" si="131"/>
        <v>1500</v>
      </c>
      <c r="K168" s="8" t="s">
        <v>126</v>
      </c>
      <c r="L168" s="8" t="s">
        <v>165</v>
      </c>
      <c r="M168" s="8">
        <f t="shared" si="132"/>
        <v>1500</v>
      </c>
      <c r="N168" s="8" t="s">
        <v>166</v>
      </c>
      <c r="O168" s="9">
        <f t="array" ref="O168">Indirect(ADDRESS(H13+1,5))</f>
        <v>1500</v>
      </c>
      <c r="P168" s="8" t="s">
        <v>167</v>
      </c>
      <c r="Q168" s="8">
        <v>0.0</v>
      </c>
      <c r="R168" s="8" t="s">
        <v>168</v>
      </c>
      <c r="S168" s="9">
        <f t="shared" si="133"/>
        <v>3000</v>
      </c>
    </row>
    <row r="169">
      <c r="A169" s="8" t="s">
        <v>131</v>
      </c>
      <c r="B169" s="8" t="s">
        <v>169</v>
      </c>
      <c r="C169" s="8">
        <v>0.0</v>
      </c>
      <c r="D169" s="8" t="s">
        <v>170</v>
      </c>
      <c r="E169" s="8">
        <f t="array" ref="E169">Indirect(ADDRESS(H13,6))</f>
        <v>0</v>
      </c>
      <c r="F169" s="8" t="s">
        <v>171</v>
      </c>
      <c r="G169" s="8">
        <v>0.0</v>
      </c>
      <c r="H169" s="8" t="s">
        <v>172</v>
      </c>
      <c r="I169" s="9">
        <f t="shared" si="131"/>
        <v>0</v>
      </c>
      <c r="K169" s="8" t="s">
        <v>131</v>
      </c>
      <c r="L169" s="8" t="s">
        <v>169</v>
      </c>
      <c r="M169" s="8">
        <f t="shared" si="132"/>
        <v>0</v>
      </c>
      <c r="N169" s="8" t="s">
        <v>170</v>
      </c>
      <c r="O169" s="9">
        <f t="array" ref="O169">Indirect(ADDRESS(H13+1,6))</f>
        <v>0</v>
      </c>
      <c r="P169" s="8" t="s">
        <v>171</v>
      </c>
      <c r="Q169" s="8">
        <v>0.0</v>
      </c>
      <c r="R169" s="8" t="s">
        <v>172</v>
      </c>
      <c r="S169" s="9">
        <f t="shared" si="133"/>
        <v>0</v>
      </c>
    </row>
    <row r="170">
      <c r="A170" s="8" t="s">
        <v>48</v>
      </c>
      <c r="B170" s="8" t="s">
        <v>173</v>
      </c>
      <c r="C170" s="8">
        <v>0.0</v>
      </c>
      <c r="D170" s="8" t="s">
        <v>174</v>
      </c>
      <c r="E170" s="9">
        <f>SUM(E164:E169)</f>
        <v>4162.5</v>
      </c>
      <c r="F170" s="8" t="s">
        <v>175</v>
      </c>
      <c r="G170" s="8">
        <v>0.0</v>
      </c>
      <c r="H170" s="8" t="s">
        <v>176</v>
      </c>
      <c r="I170" s="9">
        <f>SUM(I164:I169)</f>
        <v>4162.5</v>
      </c>
      <c r="K170" s="8" t="s">
        <v>48</v>
      </c>
      <c r="L170" s="8" t="s">
        <v>173</v>
      </c>
      <c r="M170" s="8">
        <f>SUM(M164:M169)</f>
        <v>4162.5</v>
      </c>
      <c r="N170" s="8" t="s">
        <v>174</v>
      </c>
      <c r="O170" s="9">
        <f>SUM(O164:O169)</f>
        <v>4162.5</v>
      </c>
      <c r="P170" s="8" t="s">
        <v>175</v>
      </c>
      <c r="Q170" s="8">
        <v>0.0</v>
      </c>
      <c r="R170" s="8" t="s">
        <v>176</v>
      </c>
      <c r="S170" s="9">
        <f>SUM(S164:S169)</f>
        <v>8325</v>
      </c>
    </row>
    <row r="173">
      <c r="A173" s="16" t="s">
        <v>177</v>
      </c>
    </row>
    <row r="175">
      <c r="A175" s="57" t="s">
        <v>178</v>
      </c>
    </row>
    <row r="177">
      <c r="A177" s="58" t="s">
        <v>106</v>
      </c>
      <c r="B177" s="59">
        <f>F13</f>
        <v>2025</v>
      </c>
      <c r="E177" s="58" t="s">
        <v>106</v>
      </c>
      <c r="F177" s="59">
        <f>F13+1</f>
        <v>2026</v>
      </c>
    </row>
    <row r="179">
      <c r="A179" s="8" t="s">
        <v>179</v>
      </c>
      <c r="B179" s="8" t="s">
        <v>180</v>
      </c>
      <c r="C179" s="9">
        <f t="shared" ref="C179:C180" si="134">B98</f>
        <v>0</v>
      </c>
      <c r="E179" s="8" t="s">
        <v>179</v>
      </c>
      <c r="F179" s="8" t="s">
        <v>180</v>
      </c>
      <c r="G179" s="9">
        <f t="shared" ref="G179:G180" si="135">E98</f>
        <v>5200</v>
      </c>
    </row>
    <row r="180">
      <c r="A180" s="8" t="s">
        <v>181</v>
      </c>
      <c r="B180" s="8" t="s">
        <v>182</v>
      </c>
      <c r="C180" s="9">
        <f t="shared" si="134"/>
        <v>0</v>
      </c>
      <c r="E180" s="8" t="s">
        <v>181</v>
      </c>
      <c r="F180" s="8" t="s">
        <v>182</v>
      </c>
      <c r="G180" s="9">
        <f t="shared" si="135"/>
        <v>0</v>
      </c>
    </row>
    <row r="181">
      <c r="A181" s="8" t="s">
        <v>183</v>
      </c>
      <c r="B181" s="8" t="s">
        <v>184</v>
      </c>
      <c r="C181" s="9">
        <f>C179-C180</f>
        <v>0</v>
      </c>
      <c r="E181" s="8" t="s">
        <v>183</v>
      </c>
      <c r="F181" s="8" t="s">
        <v>184</v>
      </c>
      <c r="G181" s="9">
        <f>G179-G180</f>
        <v>5200</v>
      </c>
    </row>
    <row r="182">
      <c r="A182" s="8" t="s">
        <v>185</v>
      </c>
      <c r="B182" s="8" t="s">
        <v>186</v>
      </c>
      <c r="C182" s="9">
        <f>B89</f>
        <v>5200</v>
      </c>
      <c r="E182" s="8" t="s">
        <v>185</v>
      </c>
      <c r="F182" s="8" t="s">
        <v>186</v>
      </c>
      <c r="G182" s="9">
        <f>E89</f>
        <v>0</v>
      </c>
    </row>
    <row r="183">
      <c r="A183" s="8" t="s">
        <v>187</v>
      </c>
      <c r="B183" s="8" t="s">
        <v>188</v>
      </c>
      <c r="C183" s="9">
        <f>C181+C182</f>
        <v>5200</v>
      </c>
      <c r="E183" s="8" t="s">
        <v>187</v>
      </c>
      <c r="F183" s="8" t="s">
        <v>188</v>
      </c>
      <c r="G183" s="9">
        <f>G181+G182</f>
        <v>5200</v>
      </c>
    </row>
  </sheetData>
  <mergeCells count="40">
    <mergeCell ref="C107:D107"/>
    <mergeCell ref="E107:F107"/>
    <mergeCell ref="K107:L107"/>
    <mergeCell ref="M107:N107"/>
    <mergeCell ref="A108:A110"/>
    <mergeCell ref="I108:I110"/>
    <mergeCell ref="I111:I113"/>
    <mergeCell ref="J131:K139"/>
    <mergeCell ref="H140:K140"/>
    <mergeCell ref="I114:J114"/>
    <mergeCell ref="C115:F115"/>
    <mergeCell ref="K115:N115"/>
    <mergeCell ref="L116:N122"/>
    <mergeCell ref="J117:K117"/>
    <mergeCell ref="J119:K119"/>
    <mergeCell ref="H130:K130"/>
    <mergeCell ref="P152:Q152"/>
    <mergeCell ref="R152:S152"/>
    <mergeCell ref="B140:E140"/>
    <mergeCell ref="B152:C152"/>
    <mergeCell ref="D152:E152"/>
    <mergeCell ref="F152:G152"/>
    <mergeCell ref="H152:I152"/>
    <mergeCell ref="L152:M152"/>
    <mergeCell ref="N152:O152"/>
    <mergeCell ref="B163:C163"/>
    <mergeCell ref="D163:E163"/>
    <mergeCell ref="F163:G163"/>
    <mergeCell ref="H163:I163"/>
    <mergeCell ref="L163:M163"/>
    <mergeCell ref="N163:O163"/>
    <mergeCell ref="P163:Q163"/>
    <mergeCell ref="R163:S163"/>
    <mergeCell ref="A111:A113"/>
    <mergeCell ref="A114:B114"/>
    <mergeCell ref="D116:F122"/>
    <mergeCell ref="B117:C117"/>
    <mergeCell ref="B119:C119"/>
    <mergeCell ref="B130:E130"/>
    <mergeCell ref="D131:E1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1.25"/>
    <col customWidth="1" min="3" max="3" width="9.13"/>
    <col customWidth="1" min="4" max="4" width="21.0"/>
    <col customWidth="1" min="5" max="6" width="9.13"/>
    <col customWidth="1" min="7" max="7" width="18.5"/>
    <col customWidth="1" min="10" max="10" width="17.75"/>
    <col customWidth="1" min="11" max="11" width="8.25"/>
    <col customWidth="1" min="12" max="12" width="9.0"/>
    <col customWidth="1" min="13" max="13" width="9.75"/>
    <col customWidth="1" min="15" max="15" width="15.63"/>
  </cols>
  <sheetData>
    <row r="1">
      <c r="A1" s="81" t="s">
        <v>274</v>
      </c>
      <c r="D1" s="69" t="s">
        <v>2</v>
      </c>
    </row>
    <row r="2">
      <c r="A2" s="80"/>
      <c r="D2" s="80"/>
    </row>
    <row r="3">
      <c r="A3" s="80"/>
      <c r="D3" s="80"/>
    </row>
    <row r="4">
      <c r="A4" s="82" t="s">
        <v>190</v>
      </c>
      <c r="B4" s="10">
        <v>150000.0</v>
      </c>
      <c r="D4" s="80"/>
    </row>
    <row r="5">
      <c r="A5" s="82" t="s">
        <v>191</v>
      </c>
      <c r="B5" s="61">
        <f>8000</f>
        <v>8000</v>
      </c>
      <c r="D5" s="80"/>
    </row>
    <row r="6">
      <c r="A6" s="82" t="s">
        <v>192</v>
      </c>
      <c r="B6" s="61">
        <f t="shared" ref="B6:B8" si="1">0</f>
        <v>0</v>
      </c>
      <c r="D6" s="80"/>
    </row>
    <row r="7">
      <c r="A7" s="14" t="s">
        <v>193</v>
      </c>
      <c r="B7" s="61">
        <f t="shared" si="1"/>
        <v>0</v>
      </c>
      <c r="D7" s="80"/>
    </row>
    <row r="8">
      <c r="A8" s="14" t="s">
        <v>194</v>
      </c>
      <c r="B8" s="11">
        <f t="shared" si="1"/>
        <v>0</v>
      </c>
      <c r="D8" s="80"/>
    </row>
    <row r="9">
      <c r="A9" s="83" t="s">
        <v>195</v>
      </c>
      <c r="B9" s="63">
        <f>IF(B4&gt;0,SUM(B4:B6),IF(E4&gt;0,E4,0))</f>
        <v>158000</v>
      </c>
      <c r="D9" s="80"/>
    </row>
    <row r="10">
      <c r="A10" s="80"/>
      <c r="D10" s="80"/>
    </row>
    <row r="11" hidden="1">
      <c r="A11" s="81" t="s">
        <v>196</v>
      </c>
      <c r="D11" s="80"/>
    </row>
    <row r="12" hidden="1">
      <c r="A12" s="84" t="s">
        <v>197</v>
      </c>
      <c r="B12" s="65">
        <v>45658.0</v>
      </c>
      <c r="D12" s="80"/>
    </row>
    <row r="13" hidden="1">
      <c r="A13" s="84" t="s">
        <v>198</v>
      </c>
      <c r="B13" s="66">
        <f>YEAR(B12)</f>
        <v>2025</v>
      </c>
      <c r="D13" s="80"/>
      <c r="E13" s="4" t="s">
        <v>199</v>
      </c>
      <c r="F13" s="13">
        <f>2025</f>
        <v>2025</v>
      </c>
      <c r="H13" s="4">
        <f>F13-B13+26</f>
        <v>26</v>
      </c>
    </row>
    <row r="14" hidden="1">
      <c r="A14" s="84" t="s">
        <v>200</v>
      </c>
      <c r="B14" s="66">
        <f>YEARFRAC(B12,DATE(YEAR(B12)+1,1,1),4)</f>
        <v>1</v>
      </c>
      <c r="D14" s="80"/>
      <c r="AD14" s="55" t="s">
        <v>201</v>
      </c>
      <c r="AE14" s="4" t="s">
        <v>202</v>
      </c>
      <c r="AF14" s="4" t="s">
        <v>203</v>
      </c>
      <c r="AG14" s="4" t="s">
        <v>204</v>
      </c>
      <c r="AH14" s="4" t="s">
        <v>205</v>
      </c>
    </row>
    <row r="15" hidden="1">
      <c r="A15" s="69" t="s">
        <v>206</v>
      </c>
      <c r="B15" s="67">
        <f>15%</f>
        <v>0.15</v>
      </c>
      <c r="D15" s="80"/>
      <c r="AD15" s="4" t="s">
        <v>207</v>
      </c>
      <c r="AE15" s="4">
        <v>0.0</v>
      </c>
      <c r="AF15" s="68">
        <v>45809.0</v>
      </c>
      <c r="AG15" s="4">
        <v>10.0</v>
      </c>
      <c r="AH15" s="13">
        <f t="shared" ref="AH15:AH24" si="2">YEARFRAC(AF15,DATE(YEAR(AF15)+1,1,1),4)</f>
        <v>0.5833333333</v>
      </c>
    </row>
    <row r="16" hidden="1">
      <c r="A16" s="69" t="s">
        <v>208</v>
      </c>
      <c r="B16" s="67">
        <f>40%</f>
        <v>0.4</v>
      </c>
      <c r="C16" s="4" t="s">
        <v>209</v>
      </c>
      <c r="D16" s="69">
        <v>50.0</v>
      </c>
      <c r="E16" s="4" t="s">
        <v>210</v>
      </c>
      <c r="AD16" s="4" t="s">
        <v>211</v>
      </c>
      <c r="AE16" s="4">
        <v>0.0</v>
      </c>
      <c r="AF16" s="68">
        <v>46174.0</v>
      </c>
      <c r="AG16" s="4">
        <v>10.0</v>
      </c>
      <c r="AH16" s="13">
        <f t="shared" si="2"/>
        <v>0.5833333333</v>
      </c>
    </row>
    <row r="17" hidden="1">
      <c r="A17" s="69" t="s">
        <v>212</v>
      </c>
      <c r="B17" s="67">
        <f t="shared" ref="B17:B19" si="3">15%</f>
        <v>0.15</v>
      </c>
      <c r="C17" s="4" t="s">
        <v>209</v>
      </c>
      <c r="D17" s="69">
        <v>40.0</v>
      </c>
      <c r="E17" s="4" t="s">
        <v>210</v>
      </c>
      <c r="AD17" s="4" t="s">
        <v>213</v>
      </c>
      <c r="AE17" s="4">
        <v>0.0</v>
      </c>
      <c r="AF17" s="68">
        <v>46539.0</v>
      </c>
      <c r="AG17" s="4">
        <v>10.0</v>
      </c>
      <c r="AH17" s="13">
        <f t="shared" si="2"/>
        <v>0.5833333333</v>
      </c>
    </row>
    <row r="18" hidden="1">
      <c r="A18" s="69" t="s">
        <v>214</v>
      </c>
      <c r="B18" s="67">
        <f t="shared" si="3"/>
        <v>0.15</v>
      </c>
      <c r="C18" s="4" t="s">
        <v>209</v>
      </c>
      <c r="D18" s="69">
        <v>25.0</v>
      </c>
      <c r="E18" s="4" t="s">
        <v>210</v>
      </c>
      <c r="AD18" s="4" t="s">
        <v>215</v>
      </c>
      <c r="AE18" s="4">
        <v>0.0</v>
      </c>
      <c r="AF18" s="68">
        <v>46905.0</v>
      </c>
      <c r="AG18" s="4">
        <v>10.0</v>
      </c>
      <c r="AH18" s="13">
        <f t="shared" si="2"/>
        <v>0.5833333333</v>
      </c>
    </row>
    <row r="19" hidden="1">
      <c r="A19" s="69" t="s">
        <v>216</v>
      </c>
      <c r="B19" s="67">
        <f t="shared" si="3"/>
        <v>0.15</v>
      </c>
      <c r="C19" s="4" t="s">
        <v>209</v>
      </c>
      <c r="D19" s="69">
        <v>15.0</v>
      </c>
      <c r="E19" s="4" t="s">
        <v>210</v>
      </c>
      <c r="AD19" s="4" t="s">
        <v>217</v>
      </c>
      <c r="AE19" s="4">
        <v>0.0</v>
      </c>
      <c r="AF19" s="68">
        <v>47270.0</v>
      </c>
      <c r="AG19" s="4">
        <v>10.0</v>
      </c>
      <c r="AH19" s="13">
        <f t="shared" si="2"/>
        <v>0.5833333333</v>
      </c>
    </row>
    <row r="20" hidden="1">
      <c r="A20" s="69" t="s">
        <v>218</v>
      </c>
      <c r="B20" s="13">
        <f>B7+B8</f>
        <v>0</v>
      </c>
      <c r="D20" s="69">
        <v>10.0</v>
      </c>
      <c r="E20" s="4" t="s">
        <v>210</v>
      </c>
      <c r="AD20" s="4" t="s">
        <v>219</v>
      </c>
      <c r="AE20" s="4">
        <v>0.0</v>
      </c>
      <c r="AF20" s="68">
        <v>47635.0</v>
      </c>
      <c r="AG20" s="4">
        <v>10.0</v>
      </c>
      <c r="AH20" s="13">
        <f t="shared" si="2"/>
        <v>0.5833333333</v>
      </c>
    </row>
    <row r="21" hidden="1">
      <c r="A21" s="85" t="s">
        <v>191</v>
      </c>
      <c r="B21" s="71">
        <f t="shared" ref="B21:B22" si="4">B5</f>
        <v>8000</v>
      </c>
      <c r="C21" s="71"/>
      <c r="D21" s="85">
        <v>0.0</v>
      </c>
      <c r="E21" s="71"/>
      <c r="AD21" s="4" t="s">
        <v>220</v>
      </c>
      <c r="AE21" s="4">
        <v>0.0</v>
      </c>
      <c r="AF21" s="68">
        <v>48000.0</v>
      </c>
      <c r="AG21" s="4">
        <v>10.0</v>
      </c>
      <c r="AH21" s="13">
        <f t="shared" si="2"/>
        <v>0.5833333333</v>
      </c>
    </row>
    <row r="22" hidden="1">
      <c r="A22" s="69" t="s">
        <v>221</v>
      </c>
      <c r="B22" s="13">
        <f t="shared" si="4"/>
        <v>0</v>
      </c>
      <c r="D22" s="69">
        <v>0.0</v>
      </c>
      <c r="AD22" s="4" t="s">
        <v>222</v>
      </c>
      <c r="AE22" s="4">
        <v>0.0</v>
      </c>
      <c r="AF22" s="68">
        <v>48000.0</v>
      </c>
      <c r="AG22" s="4">
        <v>10.0</v>
      </c>
      <c r="AH22" s="13">
        <f t="shared" si="2"/>
        <v>0.5833333333</v>
      </c>
    </row>
    <row r="23" hidden="1">
      <c r="A23" s="80"/>
      <c r="D23" s="80"/>
      <c r="AD23" s="4" t="s">
        <v>223</v>
      </c>
      <c r="AE23" s="4">
        <v>0.0</v>
      </c>
      <c r="AF23" s="68">
        <v>48000.0</v>
      </c>
      <c r="AG23" s="4">
        <v>10.0</v>
      </c>
      <c r="AH23" s="13">
        <f t="shared" si="2"/>
        <v>0.5833333333</v>
      </c>
    </row>
    <row r="24" hidden="1">
      <c r="A24" s="86"/>
      <c r="B24" s="72"/>
      <c r="C24" s="73" t="s">
        <v>224</v>
      </c>
      <c r="D24" s="86"/>
      <c r="E24" s="72"/>
      <c r="F24" s="72"/>
      <c r="G24" s="72"/>
      <c r="H24" s="72"/>
      <c r="I24" s="74"/>
      <c r="J24" s="74"/>
      <c r="K24" s="75" t="s">
        <v>225</v>
      </c>
      <c r="L24" s="74"/>
      <c r="M24" s="74"/>
      <c r="N24" s="74"/>
      <c r="O24" s="74"/>
      <c r="P24" s="76"/>
      <c r="Q24" s="77" t="s">
        <v>226</v>
      </c>
      <c r="R24" s="76"/>
      <c r="S24" s="76"/>
      <c r="T24" s="76"/>
      <c r="U24" s="76"/>
      <c r="V24" s="78"/>
      <c r="W24" s="79" t="s">
        <v>227</v>
      </c>
      <c r="X24" s="78"/>
      <c r="Y24" s="78"/>
      <c r="Z24" s="78"/>
      <c r="AA24" s="78"/>
      <c r="AB24" s="78"/>
      <c r="AD24" s="4" t="s">
        <v>228</v>
      </c>
      <c r="AE24" s="4">
        <v>0.0</v>
      </c>
      <c r="AF24" s="68">
        <v>48000.0</v>
      </c>
      <c r="AG24" s="4">
        <v>10.0</v>
      </c>
      <c r="AH24" s="13">
        <f t="shared" si="2"/>
        <v>0.5833333333</v>
      </c>
    </row>
    <row r="25" hidden="1">
      <c r="A25" s="69" t="s">
        <v>106</v>
      </c>
      <c r="B25" s="4" t="s">
        <v>229</v>
      </c>
      <c r="C25" s="4" t="s">
        <v>230</v>
      </c>
      <c r="D25" s="69" t="s">
        <v>231</v>
      </c>
      <c r="E25" s="4" t="s">
        <v>232</v>
      </c>
      <c r="F25" s="69" t="s">
        <v>131</v>
      </c>
      <c r="G25" s="69" t="s">
        <v>233</v>
      </c>
      <c r="H25" s="4" t="s">
        <v>234</v>
      </c>
      <c r="I25" s="4" t="s">
        <v>234</v>
      </c>
      <c r="J25" s="69" t="s">
        <v>235</v>
      </c>
      <c r="K25" s="69" t="s">
        <v>236</v>
      </c>
      <c r="L25" s="69" t="s">
        <v>131</v>
      </c>
      <c r="N25" s="4" t="s">
        <v>206</v>
      </c>
      <c r="O25" s="4" t="s">
        <v>48</v>
      </c>
      <c r="P25" s="4" t="s">
        <v>234</v>
      </c>
      <c r="Q25" s="4" t="s">
        <v>206</v>
      </c>
      <c r="R25" s="4" t="s">
        <v>231</v>
      </c>
      <c r="S25" s="4" t="s">
        <v>232</v>
      </c>
      <c r="T25" s="4" t="s">
        <v>131</v>
      </c>
      <c r="U25" s="4" t="s">
        <v>48</v>
      </c>
      <c r="V25" s="4" t="s">
        <v>234</v>
      </c>
      <c r="W25" s="4" t="s">
        <v>206</v>
      </c>
      <c r="X25" s="4" t="s">
        <v>231</v>
      </c>
      <c r="Y25" s="4" t="s">
        <v>232</v>
      </c>
      <c r="Z25" s="4" t="s">
        <v>131</v>
      </c>
      <c r="AB25" s="4" t="s">
        <v>48</v>
      </c>
      <c r="AC25" s="4"/>
      <c r="AD25" s="4"/>
      <c r="AE25" s="4"/>
      <c r="AF25" s="4"/>
      <c r="AG25" s="4"/>
      <c r="AH25" s="4"/>
    </row>
    <row r="26" hidden="1">
      <c r="A26" s="69">
        <v>2025.0</v>
      </c>
      <c r="B26" s="13">
        <f>IF(A26&lt;$B$13+$D$16,$B$16*$B$9/$D$16,0)*B14</f>
        <v>1264</v>
      </c>
      <c r="C26" s="13">
        <f>IF(A26&lt;$B$13+$D17,$B$17*$B$9/$D$17,0)*B14</f>
        <v>592.5</v>
      </c>
      <c r="D26" s="80">
        <f>IF(A26&lt;$B$13+$D18,$B$18*$B$9/$D$18,0)*B14</f>
        <v>948</v>
      </c>
      <c r="E26" s="13">
        <f>IF(A26&lt;$B$13+$D$19,$B$19*$B$9/$D$19,0)*B14</f>
        <v>1580</v>
      </c>
      <c r="F26" s="13">
        <f>(IF(A26&lt;$B$13+$D$20,$B$20/$D$20,0)*B14)</f>
        <v>0</v>
      </c>
      <c r="G26" s="13">
        <f t="shared" ref="G26:G76" si="6">SUM(B26:F26)</f>
        <v>4384.5</v>
      </c>
      <c r="H26" s="13">
        <f t="shared" ref="H26:H76" si="7">B26+C26</f>
        <v>1856.5</v>
      </c>
      <c r="I26" s="13">
        <f t="shared" ref="I26:I76" si="8">$B$9*($B$16+$B$17)-V26</f>
        <v>85043.5</v>
      </c>
      <c r="J26" s="80">
        <f t="shared" ref="J26:J76" si="9">$B$9*($B$18)-X26</f>
        <v>22752</v>
      </c>
      <c r="K26" s="13">
        <f t="shared" ref="K26:K76" si="10">$B$9*($B$19)-Y26</f>
        <v>22120</v>
      </c>
      <c r="L26" s="13">
        <f t="shared" ref="L26:L76" si="11">$B$20-Z26+AJ26</f>
        <v>0</v>
      </c>
      <c r="N26" s="13">
        <f t="shared" ref="N26:N76" si="12">$B$9*$B$15</f>
        <v>23700</v>
      </c>
      <c r="O26" s="13">
        <f t="shared" ref="O26:O76" si="13">SUM(I26:N26)</f>
        <v>153615.5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13">
        <f t="shared" ref="V26:V76" si="15">P26+H26</f>
        <v>1856.5</v>
      </c>
      <c r="W26" s="4">
        <v>0.0</v>
      </c>
      <c r="X26" s="13">
        <f t="shared" ref="X26:Z26" si="5">R26+D26</f>
        <v>948</v>
      </c>
      <c r="Y26" s="13">
        <f t="shared" si="5"/>
        <v>1580</v>
      </c>
      <c r="Z26" s="13">
        <f t="shared" si="5"/>
        <v>0</v>
      </c>
      <c r="AB26" s="13">
        <f t="shared" ref="AB26:AB76" si="17">SUM(V26:AA26)</f>
        <v>4384.5</v>
      </c>
    </row>
    <row r="27" hidden="1">
      <c r="A27" s="69">
        <v>2026.0</v>
      </c>
      <c r="B27" s="13">
        <f t="shared" ref="B27:B76" si="18">IF(A27=$B$13+$D$16,($B$16*$B$9/$D$16)*(1-$B$14),IF(A27&lt;$B$13+$D$16,$B$16*$B$9/$D$16,0))</f>
        <v>1264</v>
      </c>
      <c r="C27" s="13">
        <f t="shared" ref="C27:C76" si="19">IF(A27=$B$13+$D$17,($B$17*$B$9/$D$17)*(1-$B$14),IF(A27&lt;$B$13+$D$17,$B$17*$B$9/$D$17,0))</f>
        <v>592.5</v>
      </c>
      <c r="D27" s="80">
        <f t="shared" ref="D27:D76" si="20">IF(A27=$B$13+$D$18,($B$18*$B$9/$D$18)*(1-$B$14),IF(A27&lt;$B$13+$D$18,$B$18*$B$9/$D$18,0))</f>
        <v>948</v>
      </c>
      <c r="E27" s="13">
        <f t="shared" ref="E27:E76" si="21">IF(A27=$B$13+$D$19,($B$19*$B$9/$D$19)*(1-$B$14),IF(A27&lt;$B$13+$D$19,$B$19*$B$9/$D$19,0))</f>
        <v>1580</v>
      </c>
      <c r="F27" s="13">
        <f t="shared" ref="F27:F76" si="22">IF(A27=$B$13+$D$20,($B$20/$D$20)*(1-$B$14),IF(A27&lt;$B$13+$D$20,$B$20/$D$20,0))</f>
        <v>0</v>
      </c>
      <c r="G27" s="13">
        <f t="shared" si="6"/>
        <v>4384.5</v>
      </c>
      <c r="H27" s="13">
        <f t="shared" si="7"/>
        <v>1856.5</v>
      </c>
      <c r="I27" s="13">
        <f t="shared" si="8"/>
        <v>83187</v>
      </c>
      <c r="J27" s="80">
        <f t="shared" si="9"/>
        <v>21804</v>
      </c>
      <c r="K27" s="13">
        <f t="shared" si="10"/>
        <v>20540</v>
      </c>
      <c r="L27" s="13">
        <f t="shared" si="11"/>
        <v>0</v>
      </c>
      <c r="N27" s="13">
        <f t="shared" si="12"/>
        <v>23700</v>
      </c>
      <c r="O27" s="13">
        <f t="shared" si="13"/>
        <v>149231</v>
      </c>
      <c r="P27" s="13">
        <f t="shared" ref="P27:P76" si="23">V26</f>
        <v>1856.5</v>
      </c>
      <c r="Q27" s="4">
        <v>0.0</v>
      </c>
      <c r="R27" s="13">
        <f t="shared" ref="R27:T27" si="14">X26</f>
        <v>948</v>
      </c>
      <c r="S27" s="13">
        <f t="shared" si="14"/>
        <v>1580</v>
      </c>
      <c r="T27" s="13">
        <f t="shared" si="14"/>
        <v>0</v>
      </c>
      <c r="U27" s="13">
        <f t="shared" ref="U27:U76" si="25">AB26</f>
        <v>4384.5</v>
      </c>
      <c r="V27" s="13">
        <f t="shared" si="15"/>
        <v>3713</v>
      </c>
      <c r="W27" s="4">
        <v>0.0</v>
      </c>
      <c r="X27" s="13">
        <f t="shared" ref="X27:Z27" si="16">R27+D27</f>
        <v>1896</v>
      </c>
      <c r="Y27" s="13">
        <f t="shared" si="16"/>
        <v>3160</v>
      </c>
      <c r="Z27" s="13">
        <f t="shared" si="16"/>
        <v>0</v>
      </c>
      <c r="AB27" s="13">
        <f t="shared" si="17"/>
        <v>8769</v>
      </c>
    </row>
    <row r="28" hidden="1">
      <c r="A28" s="80">
        <f t="shared" ref="A28:A76" si="27">A27+1</f>
        <v>2027</v>
      </c>
      <c r="B28" s="13">
        <f t="shared" si="18"/>
        <v>1264</v>
      </c>
      <c r="C28" s="13">
        <f t="shared" si="19"/>
        <v>592.5</v>
      </c>
      <c r="D28" s="80">
        <f t="shared" si="20"/>
        <v>948</v>
      </c>
      <c r="E28" s="13">
        <f t="shared" si="21"/>
        <v>1580</v>
      </c>
      <c r="F28" s="13">
        <f t="shared" si="22"/>
        <v>0</v>
      </c>
      <c r="G28" s="13">
        <f t="shared" si="6"/>
        <v>4384.5</v>
      </c>
      <c r="H28" s="13">
        <f t="shared" si="7"/>
        <v>1856.5</v>
      </c>
      <c r="I28" s="13">
        <f t="shared" si="8"/>
        <v>81330.5</v>
      </c>
      <c r="J28" s="80">
        <f t="shared" si="9"/>
        <v>20856</v>
      </c>
      <c r="K28" s="13">
        <f t="shared" si="10"/>
        <v>18960</v>
      </c>
      <c r="L28" s="13">
        <f t="shared" si="11"/>
        <v>0</v>
      </c>
      <c r="N28" s="13">
        <f t="shared" si="12"/>
        <v>23700</v>
      </c>
      <c r="O28" s="13">
        <f t="shared" si="13"/>
        <v>144846.5</v>
      </c>
      <c r="P28" s="13">
        <f t="shared" si="23"/>
        <v>3713</v>
      </c>
      <c r="Q28" s="4">
        <v>0.0</v>
      </c>
      <c r="R28" s="13">
        <f t="shared" ref="R28:T28" si="24">X27</f>
        <v>1896</v>
      </c>
      <c r="S28" s="13">
        <f t="shared" si="24"/>
        <v>3160</v>
      </c>
      <c r="T28" s="13">
        <f t="shared" si="24"/>
        <v>0</v>
      </c>
      <c r="U28" s="13">
        <f t="shared" si="25"/>
        <v>8769</v>
      </c>
      <c r="V28" s="13">
        <f t="shared" si="15"/>
        <v>5569.5</v>
      </c>
      <c r="W28" s="4">
        <v>0.0</v>
      </c>
      <c r="X28" s="13">
        <f t="shared" ref="X28:Z28" si="26">R28+D28</f>
        <v>2844</v>
      </c>
      <c r="Y28" s="13">
        <f t="shared" si="26"/>
        <v>4740</v>
      </c>
      <c r="Z28" s="13">
        <f t="shared" si="26"/>
        <v>0</v>
      </c>
      <c r="AB28" s="13">
        <f t="shared" si="17"/>
        <v>13153.5</v>
      </c>
    </row>
    <row r="29" hidden="1">
      <c r="A29" s="80">
        <f t="shared" si="27"/>
        <v>2028</v>
      </c>
      <c r="B29" s="13">
        <f t="shared" si="18"/>
        <v>1264</v>
      </c>
      <c r="C29" s="13">
        <f t="shared" si="19"/>
        <v>592.5</v>
      </c>
      <c r="D29" s="80">
        <f t="shared" si="20"/>
        <v>948</v>
      </c>
      <c r="E29" s="13">
        <f t="shared" si="21"/>
        <v>1580</v>
      </c>
      <c r="F29" s="13">
        <f t="shared" si="22"/>
        <v>0</v>
      </c>
      <c r="G29" s="13">
        <f t="shared" si="6"/>
        <v>4384.5</v>
      </c>
      <c r="H29" s="13">
        <f t="shared" si="7"/>
        <v>1856.5</v>
      </c>
      <c r="I29" s="13">
        <f t="shared" si="8"/>
        <v>79474</v>
      </c>
      <c r="J29" s="80">
        <f t="shared" si="9"/>
        <v>19908</v>
      </c>
      <c r="K29" s="13">
        <f t="shared" si="10"/>
        <v>17380</v>
      </c>
      <c r="L29" s="13">
        <f t="shared" si="11"/>
        <v>0</v>
      </c>
      <c r="N29" s="13">
        <f t="shared" si="12"/>
        <v>23700</v>
      </c>
      <c r="O29" s="13">
        <f t="shared" si="13"/>
        <v>140462</v>
      </c>
      <c r="P29" s="13">
        <f t="shared" si="23"/>
        <v>5569.5</v>
      </c>
      <c r="Q29" s="4">
        <v>0.0</v>
      </c>
      <c r="R29" s="13">
        <f t="shared" ref="R29:T29" si="28">X28</f>
        <v>2844</v>
      </c>
      <c r="S29" s="13">
        <f t="shared" si="28"/>
        <v>4740</v>
      </c>
      <c r="T29" s="13">
        <f t="shared" si="28"/>
        <v>0</v>
      </c>
      <c r="U29" s="13">
        <f t="shared" si="25"/>
        <v>13153.5</v>
      </c>
      <c r="V29" s="13">
        <f t="shared" si="15"/>
        <v>7426</v>
      </c>
      <c r="W29" s="4">
        <v>0.0</v>
      </c>
      <c r="X29" s="13">
        <f t="shared" ref="X29:Z29" si="29">R29+D29</f>
        <v>3792</v>
      </c>
      <c r="Y29" s="13">
        <f t="shared" si="29"/>
        <v>6320</v>
      </c>
      <c r="Z29" s="13">
        <f t="shared" si="29"/>
        <v>0</v>
      </c>
      <c r="AB29" s="13">
        <f t="shared" si="17"/>
        <v>17538</v>
      </c>
    </row>
    <row r="30" hidden="1">
      <c r="A30" s="80">
        <f t="shared" si="27"/>
        <v>2029</v>
      </c>
      <c r="B30" s="13">
        <f t="shared" si="18"/>
        <v>1264</v>
      </c>
      <c r="C30" s="13">
        <f t="shared" si="19"/>
        <v>592.5</v>
      </c>
      <c r="D30" s="80">
        <f t="shared" si="20"/>
        <v>948</v>
      </c>
      <c r="E30" s="13">
        <f t="shared" si="21"/>
        <v>1580</v>
      </c>
      <c r="F30" s="13">
        <f t="shared" si="22"/>
        <v>0</v>
      </c>
      <c r="G30" s="13">
        <f t="shared" si="6"/>
        <v>4384.5</v>
      </c>
      <c r="H30" s="13">
        <f t="shared" si="7"/>
        <v>1856.5</v>
      </c>
      <c r="I30" s="13">
        <f t="shared" si="8"/>
        <v>77617.5</v>
      </c>
      <c r="J30" s="80">
        <f t="shared" si="9"/>
        <v>18960</v>
      </c>
      <c r="K30" s="13">
        <f t="shared" si="10"/>
        <v>15800</v>
      </c>
      <c r="L30" s="13">
        <f t="shared" si="11"/>
        <v>0</v>
      </c>
      <c r="N30" s="13">
        <f t="shared" si="12"/>
        <v>23700</v>
      </c>
      <c r="O30" s="13">
        <f t="shared" si="13"/>
        <v>136077.5</v>
      </c>
      <c r="P30" s="13">
        <f t="shared" si="23"/>
        <v>7426</v>
      </c>
      <c r="Q30" s="4">
        <v>0.0</v>
      </c>
      <c r="R30" s="13">
        <f t="shared" ref="R30:T30" si="30">X29</f>
        <v>3792</v>
      </c>
      <c r="S30" s="13">
        <f t="shared" si="30"/>
        <v>6320</v>
      </c>
      <c r="T30" s="13">
        <f t="shared" si="30"/>
        <v>0</v>
      </c>
      <c r="U30" s="13">
        <f t="shared" si="25"/>
        <v>17538</v>
      </c>
      <c r="V30" s="13">
        <f t="shared" si="15"/>
        <v>9282.5</v>
      </c>
      <c r="W30" s="4">
        <v>0.0</v>
      </c>
      <c r="X30" s="13">
        <f t="shared" ref="X30:Z30" si="31">R30+D30</f>
        <v>4740</v>
      </c>
      <c r="Y30" s="13">
        <f t="shared" si="31"/>
        <v>7900</v>
      </c>
      <c r="Z30" s="13">
        <f t="shared" si="31"/>
        <v>0</v>
      </c>
      <c r="AB30" s="13">
        <f t="shared" si="17"/>
        <v>21922.5</v>
      </c>
    </row>
    <row r="31" hidden="1">
      <c r="A31" s="80">
        <f t="shared" si="27"/>
        <v>2030</v>
      </c>
      <c r="B31" s="13">
        <f t="shared" si="18"/>
        <v>1264</v>
      </c>
      <c r="C31" s="13">
        <f t="shared" si="19"/>
        <v>592.5</v>
      </c>
      <c r="D31" s="80">
        <f t="shared" si="20"/>
        <v>948</v>
      </c>
      <c r="E31" s="13">
        <f t="shared" si="21"/>
        <v>1580</v>
      </c>
      <c r="F31" s="13">
        <f t="shared" si="22"/>
        <v>0</v>
      </c>
      <c r="G31" s="13">
        <f t="shared" si="6"/>
        <v>4384.5</v>
      </c>
      <c r="H31" s="13">
        <f t="shared" si="7"/>
        <v>1856.5</v>
      </c>
      <c r="I31" s="13">
        <f t="shared" si="8"/>
        <v>75761</v>
      </c>
      <c r="J31" s="80">
        <f t="shared" si="9"/>
        <v>18012</v>
      </c>
      <c r="K31" s="13">
        <f t="shared" si="10"/>
        <v>14220</v>
      </c>
      <c r="L31" s="13">
        <f t="shared" si="11"/>
        <v>0</v>
      </c>
      <c r="N31" s="13">
        <f t="shared" si="12"/>
        <v>23700</v>
      </c>
      <c r="O31" s="13">
        <f t="shared" si="13"/>
        <v>131693</v>
      </c>
      <c r="P31" s="13">
        <f t="shared" si="23"/>
        <v>9282.5</v>
      </c>
      <c r="Q31" s="4">
        <v>0.0</v>
      </c>
      <c r="R31" s="13">
        <f t="shared" ref="R31:T31" si="32">X30</f>
        <v>4740</v>
      </c>
      <c r="S31" s="13">
        <f t="shared" si="32"/>
        <v>7900</v>
      </c>
      <c r="T31" s="13">
        <f t="shared" si="32"/>
        <v>0</v>
      </c>
      <c r="U31" s="13">
        <f t="shared" si="25"/>
        <v>21922.5</v>
      </c>
      <c r="V31" s="13">
        <f t="shared" si="15"/>
        <v>11139</v>
      </c>
      <c r="W31" s="4">
        <v>0.0</v>
      </c>
      <c r="X31" s="13">
        <f t="shared" ref="X31:Z31" si="33">R31+D31</f>
        <v>5688</v>
      </c>
      <c r="Y31" s="13">
        <f t="shared" si="33"/>
        <v>9480</v>
      </c>
      <c r="Z31" s="13">
        <f t="shared" si="33"/>
        <v>0</v>
      </c>
      <c r="AB31" s="13">
        <f t="shared" si="17"/>
        <v>26307</v>
      </c>
    </row>
    <row r="32" hidden="1">
      <c r="A32" s="80">
        <f t="shared" si="27"/>
        <v>2031</v>
      </c>
      <c r="B32" s="13">
        <f t="shared" si="18"/>
        <v>1264</v>
      </c>
      <c r="C32" s="13">
        <f t="shared" si="19"/>
        <v>592.5</v>
      </c>
      <c r="D32" s="80">
        <f t="shared" si="20"/>
        <v>948</v>
      </c>
      <c r="E32" s="13">
        <f t="shared" si="21"/>
        <v>1580</v>
      </c>
      <c r="F32" s="13">
        <f t="shared" si="22"/>
        <v>0</v>
      </c>
      <c r="G32" s="13">
        <f t="shared" si="6"/>
        <v>4384.5</v>
      </c>
      <c r="H32" s="13">
        <f t="shared" si="7"/>
        <v>1856.5</v>
      </c>
      <c r="I32" s="13">
        <f t="shared" si="8"/>
        <v>73904.5</v>
      </c>
      <c r="J32" s="80">
        <f t="shared" si="9"/>
        <v>17064</v>
      </c>
      <c r="K32" s="13">
        <f t="shared" si="10"/>
        <v>12640</v>
      </c>
      <c r="L32" s="13">
        <f t="shared" si="11"/>
        <v>0</v>
      </c>
      <c r="N32" s="13">
        <f t="shared" si="12"/>
        <v>23700</v>
      </c>
      <c r="O32" s="13">
        <f t="shared" si="13"/>
        <v>127308.5</v>
      </c>
      <c r="P32" s="13">
        <f t="shared" si="23"/>
        <v>11139</v>
      </c>
      <c r="Q32" s="4">
        <v>0.0</v>
      </c>
      <c r="R32" s="13">
        <f t="shared" ref="R32:T32" si="34">X31</f>
        <v>5688</v>
      </c>
      <c r="S32" s="13">
        <f t="shared" si="34"/>
        <v>9480</v>
      </c>
      <c r="T32" s="13">
        <f t="shared" si="34"/>
        <v>0</v>
      </c>
      <c r="U32" s="13">
        <f t="shared" si="25"/>
        <v>26307</v>
      </c>
      <c r="V32" s="13">
        <f t="shared" si="15"/>
        <v>12995.5</v>
      </c>
      <c r="W32" s="4">
        <v>0.0</v>
      </c>
      <c r="X32" s="13">
        <f t="shared" ref="X32:Z32" si="35">R32+D32</f>
        <v>6636</v>
      </c>
      <c r="Y32" s="13">
        <f t="shared" si="35"/>
        <v>11060</v>
      </c>
      <c r="Z32" s="13">
        <f t="shared" si="35"/>
        <v>0</v>
      </c>
      <c r="AB32" s="13">
        <f t="shared" si="17"/>
        <v>30691.5</v>
      </c>
    </row>
    <row r="33" hidden="1">
      <c r="A33" s="80">
        <f t="shared" si="27"/>
        <v>2032</v>
      </c>
      <c r="B33" s="13">
        <f t="shared" si="18"/>
        <v>1264</v>
      </c>
      <c r="C33" s="13">
        <f t="shared" si="19"/>
        <v>592.5</v>
      </c>
      <c r="D33" s="80">
        <f t="shared" si="20"/>
        <v>948</v>
      </c>
      <c r="E33" s="13">
        <f t="shared" si="21"/>
        <v>1580</v>
      </c>
      <c r="F33" s="13">
        <f t="shared" si="22"/>
        <v>0</v>
      </c>
      <c r="G33" s="13">
        <f t="shared" si="6"/>
        <v>4384.5</v>
      </c>
      <c r="H33" s="13">
        <f t="shared" si="7"/>
        <v>1856.5</v>
      </c>
      <c r="I33" s="13">
        <f t="shared" si="8"/>
        <v>72048</v>
      </c>
      <c r="J33" s="80">
        <f t="shared" si="9"/>
        <v>16116</v>
      </c>
      <c r="K33" s="13">
        <f t="shared" si="10"/>
        <v>11060</v>
      </c>
      <c r="L33" s="13">
        <f t="shared" si="11"/>
        <v>0</v>
      </c>
      <c r="N33" s="13">
        <f t="shared" si="12"/>
        <v>23700</v>
      </c>
      <c r="O33" s="13">
        <f t="shared" si="13"/>
        <v>122924</v>
      </c>
      <c r="P33" s="13">
        <f t="shared" si="23"/>
        <v>12995.5</v>
      </c>
      <c r="Q33" s="4">
        <v>0.0</v>
      </c>
      <c r="R33" s="13">
        <f t="shared" ref="R33:T33" si="36">X32</f>
        <v>6636</v>
      </c>
      <c r="S33" s="13">
        <f t="shared" si="36"/>
        <v>11060</v>
      </c>
      <c r="T33" s="13">
        <f t="shared" si="36"/>
        <v>0</v>
      </c>
      <c r="U33" s="13">
        <f t="shared" si="25"/>
        <v>30691.5</v>
      </c>
      <c r="V33" s="13">
        <f t="shared" si="15"/>
        <v>14852</v>
      </c>
      <c r="W33" s="4">
        <v>0.0</v>
      </c>
      <c r="X33" s="13">
        <f t="shared" ref="X33:Z33" si="37">R33+D33</f>
        <v>7584</v>
      </c>
      <c r="Y33" s="13">
        <f t="shared" si="37"/>
        <v>12640</v>
      </c>
      <c r="Z33" s="13">
        <f t="shared" si="37"/>
        <v>0</v>
      </c>
      <c r="AB33" s="13">
        <f t="shared" si="17"/>
        <v>35076</v>
      </c>
    </row>
    <row r="34" hidden="1">
      <c r="A34" s="80">
        <f t="shared" si="27"/>
        <v>2033</v>
      </c>
      <c r="B34" s="13">
        <f t="shared" si="18"/>
        <v>1264</v>
      </c>
      <c r="C34" s="13">
        <f t="shared" si="19"/>
        <v>592.5</v>
      </c>
      <c r="D34" s="80">
        <f t="shared" si="20"/>
        <v>948</v>
      </c>
      <c r="E34" s="13">
        <f t="shared" si="21"/>
        <v>1580</v>
      </c>
      <c r="F34" s="13">
        <f t="shared" si="22"/>
        <v>0</v>
      </c>
      <c r="G34" s="13">
        <f t="shared" si="6"/>
        <v>4384.5</v>
      </c>
      <c r="H34" s="13">
        <f t="shared" si="7"/>
        <v>1856.5</v>
      </c>
      <c r="I34" s="13">
        <f t="shared" si="8"/>
        <v>70191.5</v>
      </c>
      <c r="J34" s="80">
        <f t="shared" si="9"/>
        <v>15168</v>
      </c>
      <c r="K34" s="13">
        <f t="shared" si="10"/>
        <v>9480</v>
      </c>
      <c r="L34" s="13">
        <f t="shared" si="11"/>
        <v>0</v>
      </c>
      <c r="N34" s="13">
        <f t="shared" si="12"/>
        <v>23700</v>
      </c>
      <c r="O34" s="13">
        <f t="shared" si="13"/>
        <v>118539.5</v>
      </c>
      <c r="P34" s="13">
        <f t="shared" si="23"/>
        <v>14852</v>
      </c>
      <c r="Q34" s="4">
        <v>0.0</v>
      </c>
      <c r="R34" s="13">
        <f t="shared" ref="R34:T34" si="38">X33</f>
        <v>7584</v>
      </c>
      <c r="S34" s="13">
        <f t="shared" si="38"/>
        <v>12640</v>
      </c>
      <c r="T34" s="13">
        <f t="shared" si="38"/>
        <v>0</v>
      </c>
      <c r="U34" s="13">
        <f t="shared" si="25"/>
        <v>35076</v>
      </c>
      <c r="V34" s="13">
        <f t="shared" si="15"/>
        <v>16708.5</v>
      </c>
      <c r="W34" s="4">
        <v>0.0</v>
      </c>
      <c r="X34" s="13">
        <f t="shared" ref="X34:Z34" si="39">R34+D34</f>
        <v>8532</v>
      </c>
      <c r="Y34" s="13">
        <f t="shared" si="39"/>
        <v>14220</v>
      </c>
      <c r="Z34" s="13">
        <f t="shared" si="39"/>
        <v>0</v>
      </c>
      <c r="AB34" s="13">
        <f t="shared" si="17"/>
        <v>39460.5</v>
      </c>
    </row>
    <row r="35" hidden="1">
      <c r="A35" s="80">
        <f t="shared" si="27"/>
        <v>2034</v>
      </c>
      <c r="B35" s="13">
        <f t="shared" si="18"/>
        <v>1264</v>
      </c>
      <c r="C35" s="13">
        <f t="shared" si="19"/>
        <v>592.5</v>
      </c>
      <c r="D35" s="80">
        <f t="shared" si="20"/>
        <v>948</v>
      </c>
      <c r="E35" s="13">
        <f t="shared" si="21"/>
        <v>1580</v>
      </c>
      <c r="F35" s="13">
        <f t="shared" si="22"/>
        <v>0</v>
      </c>
      <c r="G35" s="13">
        <f t="shared" si="6"/>
        <v>4384.5</v>
      </c>
      <c r="H35" s="13">
        <f t="shared" si="7"/>
        <v>1856.5</v>
      </c>
      <c r="I35" s="13">
        <f t="shared" si="8"/>
        <v>68335</v>
      </c>
      <c r="J35" s="80">
        <f t="shared" si="9"/>
        <v>14220</v>
      </c>
      <c r="K35" s="13">
        <f t="shared" si="10"/>
        <v>7900</v>
      </c>
      <c r="L35" s="13">
        <f t="shared" si="11"/>
        <v>0</v>
      </c>
      <c r="N35" s="13">
        <f t="shared" si="12"/>
        <v>23700</v>
      </c>
      <c r="O35" s="13">
        <f t="shared" si="13"/>
        <v>114155</v>
      </c>
      <c r="P35" s="13">
        <f t="shared" si="23"/>
        <v>16708.5</v>
      </c>
      <c r="Q35" s="4">
        <v>0.0</v>
      </c>
      <c r="R35" s="13">
        <f t="shared" ref="R35:T35" si="40">X34</f>
        <v>8532</v>
      </c>
      <c r="S35" s="13">
        <f t="shared" si="40"/>
        <v>14220</v>
      </c>
      <c r="T35" s="13">
        <f t="shared" si="40"/>
        <v>0</v>
      </c>
      <c r="U35" s="13">
        <f t="shared" si="25"/>
        <v>39460.5</v>
      </c>
      <c r="V35" s="13">
        <f t="shared" si="15"/>
        <v>18565</v>
      </c>
      <c r="W35" s="4">
        <v>0.0</v>
      </c>
      <c r="X35" s="13">
        <f t="shared" ref="X35:Z35" si="41">R35+D35</f>
        <v>9480</v>
      </c>
      <c r="Y35" s="13">
        <f t="shared" si="41"/>
        <v>15800</v>
      </c>
      <c r="Z35" s="13">
        <f t="shared" si="41"/>
        <v>0</v>
      </c>
      <c r="AB35" s="13">
        <f t="shared" si="17"/>
        <v>43845</v>
      </c>
    </row>
    <row r="36" hidden="1">
      <c r="A36" s="80">
        <f t="shared" si="27"/>
        <v>2035</v>
      </c>
      <c r="B36" s="13">
        <f t="shared" si="18"/>
        <v>1264</v>
      </c>
      <c r="C36" s="13">
        <f t="shared" si="19"/>
        <v>592.5</v>
      </c>
      <c r="D36" s="80">
        <f t="shared" si="20"/>
        <v>948</v>
      </c>
      <c r="E36" s="13">
        <f t="shared" si="21"/>
        <v>1580</v>
      </c>
      <c r="F36" s="13">
        <f t="shared" si="22"/>
        <v>0</v>
      </c>
      <c r="G36" s="13">
        <f t="shared" si="6"/>
        <v>4384.5</v>
      </c>
      <c r="H36" s="13">
        <f t="shared" si="7"/>
        <v>1856.5</v>
      </c>
      <c r="I36" s="13">
        <f t="shared" si="8"/>
        <v>66478.5</v>
      </c>
      <c r="J36" s="80">
        <f t="shared" si="9"/>
        <v>13272</v>
      </c>
      <c r="K36" s="13">
        <f t="shared" si="10"/>
        <v>6320</v>
      </c>
      <c r="L36" s="13">
        <f t="shared" si="11"/>
        <v>0</v>
      </c>
      <c r="N36" s="13">
        <f t="shared" si="12"/>
        <v>23700</v>
      </c>
      <c r="O36" s="13">
        <f t="shared" si="13"/>
        <v>109770.5</v>
      </c>
      <c r="P36" s="13">
        <f t="shared" si="23"/>
        <v>18565</v>
      </c>
      <c r="Q36" s="4">
        <v>0.0</v>
      </c>
      <c r="R36" s="13">
        <f t="shared" ref="R36:T36" si="42">X35</f>
        <v>9480</v>
      </c>
      <c r="S36" s="13">
        <f t="shared" si="42"/>
        <v>15800</v>
      </c>
      <c r="T36" s="13">
        <f t="shared" si="42"/>
        <v>0</v>
      </c>
      <c r="U36" s="13">
        <f t="shared" si="25"/>
        <v>43845</v>
      </c>
      <c r="V36" s="13">
        <f t="shared" si="15"/>
        <v>20421.5</v>
      </c>
      <c r="W36" s="4">
        <v>0.0</v>
      </c>
      <c r="X36" s="13">
        <f t="shared" ref="X36:Z36" si="43">R36+D36</f>
        <v>10428</v>
      </c>
      <c r="Y36" s="13">
        <f t="shared" si="43"/>
        <v>17380</v>
      </c>
      <c r="Z36" s="13">
        <f t="shared" si="43"/>
        <v>0</v>
      </c>
      <c r="AB36" s="13">
        <f t="shared" si="17"/>
        <v>48229.5</v>
      </c>
    </row>
    <row r="37" hidden="1">
      <c r="A37" s="80">
        <f t="shared" si="27"/>
        <v>2036</v>
      </c>
      <c r="B37" s="13">
        <f t="shared" si="18"/>
        <v>1264</v>
      </c>
      <c r="C37" s="13">
        <f t="shared" si="19"/>
        <v>592.5</v>
      </c>
      <c r="D37" s="80">
        <f t="shared" si="20"/>
        <v>948</v>
      </c>
      <c r="E37" s="13">
        <f t="shared" si="21"/>
        <v>1580</v>
      </c>
      <c r="F37" s="13">
        <f t="shared" si="22"/>
        <v>0</v>
      </c>
      <c r="G37" s="13">
        <f t="shared" si="6"/>
        <v>4384.5</v>
      </c>
      <c r="H37" s="13">
        <f t="shared" si="7"/>
        <v>1856.5</v>
      </c>
      <c r="I37" s="13">
        <f t="shared" si="8"/>
        <v>64622</v>
      </c>
      <c r="J37" s="80">
        <f t="shared" si="9"/>
        <v>12324</v>
      </c>
      <c r="K37" s="13">
        <f t="shared" si="10"/>
        <v>4740</v>
      </c>
      <c r="L37" s="13">
        <f t="shared" si="11"/>
        <v>0</v>
      </c>
      <c r="N37" s="13">
        <f t="shared" si="12"/>
        <v>23700</v>
      </c>
      <c r="O37" s="13">
        <f t="shared" si="13"/>
        <v>105386</v>
      </c>
      <c r="P37" s="13">
        <f t="shared" si="23"/>
        <v>20421.5</v>
      </c>
      <c r="Q37" s="4">
        <v>0.0</v>
      </c>
      <c r="R37" s="13">
        <f t="shared" ref="R37:T37" si="44">X36</f>
        <v>10428</v>
      </c>
      <c r="S37" s="13">
        <f t="shared" si="44"/>
        <v>17380</v>
      </c>
      <c r="T37" s="13">
        <f t="shared" si="44"/>
        <v>0</v>
      </c>
      <c r="U37" s="13">
        <f t="shared" si="25"/>
        <v>48229.5</v>
      </c>
      <c r="V37" s="13">
        <f t="shared" si="15"/>
        <v>22278</v>
      </c>
      <c r="W37" s="4">
        <v>0.0</v>
      </c>
      <c r="X37" s="13">
        <f t="shared" ref="X37:Z37" si="45">R37+D37</f>
        <v>11376</v>
      </c>
      <c r="Y37" s="13">
        <f t="shared" si="45"/>
        <v>18960</v>
      </c>
      <c r="Z37" s="13">
        <f t="shared" si="45"/>
        <v>0</v>
      </c>
      <c r="AB37" s="13">
        <f t="shared" si="17"/>
        <v>52614</v>
      </c>
    </row>
    <row r="38" hidden="1">
      <c r="A38" s="80">
        <f t="shared" si="27"/>
        <v>2037</v>
      </c>
      <c r="B38" s="13">
        <f t="shared" si="18"/>
        <v>1264</v>
      </c>
      <c r="C38" s="13">
        <f t="shared" si="19"/>
        <v>592.5</v>
      </c>
      <c r="D38" s="80">
        <f t="shared" si="20"/>
        <v>948</v>
      </c>
      <c r="E38" s="13">
        <f t="shared" si="21"/>
        <v>1580</v>
      </c>
      <c r="F38" s="13">
        <f t="shared" si="22"/>
        <v>0</v>
      </c>
      <c r="G38" s="13">
        <f t="shared" si="6"/>
        <v>4384.5</v>
      </c>
      <c r="H38" s="13">
        <f t="shared" si="7"/>
        <v>1856.5</v>
      </c>
      <c r="I38" s="13">
        <f t="shared" si="8"/>
        <v>62765.5</v>
      </c>
      <c r="J38" s="80">
        <f t="shared" si="9"/>
        <v>11376</v>
      </c>
      <c r="K38" s="13">
        <f t="shared" si="10"/>
        <v>3160</v>
      </c>
      <c r="L38" s="13">
        <f t="shared" si="11"/>
        <v>0</v>
      </c>
      <c r="N38" s="13">
        <f t="shared" si="12"/>
        <v>23700</v>
      </c>
      <c r="O38" s="13">
        <f t="shared" si="13"/>
        <v>101001.5</v>
      </c>
      <c r="P38" s="13">
        <f t="shared" si="23"/>
        <v>22278</v>
      </c>
      <c r="Q38" s="4">
        <v>0.0</v>
      </c>
      <c r="R38" s="13">
        <f t="shared" ref="R38:T38" si="46">X37</f>
        <v>11376</v>
      </c>
      <c r="S38" s="13">
        <f t="shared" si="46"/>
        <v>18960</v>
      </c>
      <c r="T38" s="13">
        <f t="shared" si="46"/>
        <v>0</v>
      </c>
      <c r="U38" s="13">
        <f t="shared" si="25"/>
        <v>52614</v>
      </c>
      <c r="V38" s="13">
        <f t="shared" si="15"/>
        <v>24134.5</v>
      </c>
      <c r="W38" s="4">
        <v>0.0</v>
      </c>
      <c r="X38" s="13">
        <f t="shared" ref="X38:Z38" si="47">R38+D38</f>
        <v>12324</v>
      </c>
      <c r="Y38" s="13">
        <f t="shared" si="47"/>
        <v>20540</v>
      </c>
      <c r="Z38" s="13">
        <f t="shared" si="47"/>
        <v>0</v>
      </c>
      <c r="AB38" s="13">
        <f t="shared" si="17"/>
        <v>56998.5</v>
      </c>
    </row>
    <row r="39" hidden="1">
      <c r="A39" s="80">
        <f t="shared" si="27"/>
        <v>2038</v>
      </c>
      <c r="B39" s="13">
        <f t="shared" si="18"/>
        <v>1264</v>
      </c>
      <c r="C39" s="13">
        <f t="shared" si="19"/>
        <v>592.5</v>
      </c>
      <c r="D39" s="80">
        <f t="shared" si="20"/>
        <v>948</v>
      </c>
      <c r="E39" s="13">
        <f t="shared" si="21"/>
        <v>1580</v>
      </c>
      <c r="F39" s="13">
        <f t="shared" si="22"/>
        <v>0</v>
      </c>
      <c r="G39" s="13">
        <f t="shared" si="6"/>
        <v>4384.5</v>
      </c>
      <c r="H39" s="13">
        <f t="shared" si="7"/>
        <v>1856.5</v>
      </c>
      <c r="I39" s="13">
        <f t="shared" si="8"/>
        <v>60909</v>
      </c>
      <c r="J39" s="80">
        <f t="shared" si="9"/>
        <v>10428</v>
      </c>
      <c r="K39" s="13">
        <f t="shared" si="10"/>
        <v>1580</v>
      </c>
      <c r="L39" s="13">
        <f t="shared" si="11"/>
        <v>0</v>
      </c>
      <c r="N39" s="13">
        <f t="shared" si="12"/>
        <v>23700</v>
      </c>
      <c r="O39" s="13">
        <f t="shared" si="13"/>
        <v>96617</v>
      </c>
      <c r="P39" s="13">
        <f t="shared" si="23"/>
        <v>24134.5</v>
      </c>
      <c r="Q39" s="4">
        <v>0.0</v>
      </c>
      <c r="R39" s="13">
        <f t="shared" ref="R39:T39" si="48">X38</f>
        <v>12324</v>
      </c>
      <c r="S39" s="13">
        <f t="shared" si="48"/>
        <v>20540</v>
      </c>
      <c r="T39" s="13">
        <f t="shared" si="48"/>
        <v>0</v>
      </c>
      <c r="U39" s="13">
        <f t="shared" si="25"/>
        <v>56998.5</v>
      </c>
      <c r="V39" s="13">
        <f t="shared" si="15"/>
        <v>25991</v>
      </c>
      <c r="W39" s="4">
        <v>0.0</v>
      </c>
      <c r="X39" s="13">
        <f t="shared" ref="X39:Z39" si="49">R39+D39</f>
        <v>13272</v>
      </c>
      <c r="Y39" s="13">
        <f t="shared" si="49"/>
        <v>22120</v>
      </c>
      <c r="Z39" s="13">
        <f t="shared" si="49"/>
        <v>0</v>
      </c>
      <c r="AB39" s="13">
        <f t="shared" si="17"/>
        <v>61383</v>
      </c>
    </row>
    <row r="40" hidden="1">
      <c r="A40" s="80">
        <f t="shared" si="27"/>
        <v>2039</v>
      </c>
      <c r="B40" s="13">
        <f t="shared" si="18"/>
        <v>1264</v>
      </c>
      <c r="C40" s="13">
        <f t="shared" si="19"/>
        <v>592.5</v>
      </c>
      <c r="D40" s="80">
        <f t="shared" si="20"/>
        <v>948</v>
      </c>
      <c r="E40" s="13">
        <f t="shared" si="21"/>
        <v>1580</v>
      </c>
      <c r="F40" s="13">
        <f t="shared" si="22"/>
        <v>0</v>
      </c>
      <c r="G40" s="13">
        <f t="shared" si="6"/>
        <v>4384.5</v>
      </c>
      <c r="H40" s="13">
        <f t="shared" si="7"/>
        <v>1856.5</v>
      </c>
      <c r="I40" s="13">
        <f t="shared" si="8"/>
        <v>59052.5</v>
      </c>
      <c r="J40" s="80">
        <f t="shared" si="9"/>
        <v>9480</v>
      </c>
      <c r="K40" s="13">
        <f t="shared" si="10"/>
        <v>0</v>
      </c>
      <c r="L40" s="13">
        <f t="shared" si="11"/>
        <v>0</v>
      </c>
      <c r="N40" s="13">
        <f t="shared" si="12"/>
        <v>23700</v>
      </c>
      <c r="O40" s="13">
        <f t="shared" si="13"/>
        <v>92232.5</v>
      </c>
      <c r="P40" s="13">
        <f t="shared" si="23"/>
        <v>25991</v>
      </c>
      <c r="Q40" s="4">
        <v>0.0</v>
      </c>
      <c r="R40" s="13">
        <f t="shared" ref="R40:T40" si="50">X39</f>
        <v>13272</v>
      </c>
      <c r="S40" s="13">
        <f t="shared" si="50"/>
        <v>22120</v>
      </c>
      <c r="T40" s="13">
        <f t="shared" si="50"/>
        <v>0</v>
      </c>
      <c r="U40" s="13">
        <f t="shared" si="25"/>
        <v>61383</v>
      </c>
      <c r="V40" s="13">
        <f t="shared" si="15"/>
        <v>27847.5</v>
      </c>
      <c r="W40" s="4">
        <v>0.0</v>
      </c>
      <c r="X40" s="13">
        <f t="shared" ref="X40:Z40" si="51">R40+D40</f>
        <v>14220</v>
      </c>
      <c r="Y40" s="13">
        <f t="shared" si="51"/>
        <v>23700</v>
      </c>
      <c r="Z40" s="13">
        <f t="shared" si="51"/>
        <v>0</v>
      </c>
      <c r="AB40" s="13">
        <f t="shared" si="17"/>
        <v>65767.5</v>
      </c>
    </row>
    <row r="41" hidden="1">
      <c r="A41" s="80">
        <f t="shared" si="27"/>
        <v>2040</v>
      </c>
      <c r="B41" s="13">
        <f t="shared" si="18"/>
        <v>1264</v>
      </c>
      <c r="C41" s="13">
        <f t="shared" si="19"/>
        <v>592.5</v>
      </c>
      <c r="D41" s="80">
        <f t="shared" si="20"/>
        <v>948</v>
      </c>
      <c r="E41" s="13">
        <f t="shared" si="21"/>
        <v>0</v>
      </c>
      <c r="F41" s="13">
        <f t="shared" si="22"/>
        <v>0</v>
      </c>
      <c r="G41" s="13">
        <f t="shared" si="6"/>
        <v>2804.5</v>
      </c>
      <c r="H41" s="13">
        <f t="shared" si="7"/>
        <v>1856.5</v>
      </c>
      <c r="I41" s="13">
        <f t="shared" si="8"/>
        <v>57196</v>
      </c>
      <c r="J41" s="80">
        <f t="shared" si="9"/>
        <v>8532</v>
      </c>
      <c r="K41" s="13">
        <f t="shared" si="10"/>
        <v>0</v>
      </c>
      <c r="L41" s="13">
        <f t="shared" si="11"/>
        <v>0</v>
      </c>
      <c r="N41" s="13">
        <f t="shared" si="12"/>
        <v>23700</v>
      </c>
      <c r="O41" s="13">
        <f t="shared" si="13"/>
        <v>89428</v>
      </c>
      <c r="P41" s="13">
        <f t="shared" si="23"/>
        <v>27847.5</v>
      </c>
      <c r="Q41" s="4">
        <v>0.0</v>
      </c>
      <c r="R41" s="13">
        <f t="shared" ref="R41:T41" si="52">X40</f>
        <v>14220</v>
      </c>
      <c r="S41" s="13">
        <f t="shared" si="52"/>
        <v>23700</v>
      </c>
      <c r="T41" s="13">
        <f t="shared" si="52"/>
        <v>0</v>
      </c>
      <c r="U41" s="13">
        <f t="shared" si="25"/>
        <v>65767.5</v>
      </c>
      <c r="V41" s="13">
        <f t="shared" si="15"/>
        <v>29704</v>
      </c>
      <c r="W41" s="4">
        <v>0.0</v>
      </c>
      <c r="X41" s="13">
        <f t="shared" ref="X41:Z41" si="53">R41+D41</f>
        <v>15168</v>
      </c>
      <c r="Y41" s="13">
        <f t="shared" si="53"/>
        <v>23700</v>
      </c>
      <c r="Z41" s="13">
        <f t="shared" si="53"/>
        <v>0</v>
      </c>
      <c r="AB41" s="13">
        <f t="shared" si="17"/>
        <v>68572</v>
      </c>
    </row>
    <row r="42" hidden="1">
      <c r="A42" s="80">
        <f t="shared" si="27"/>
        <v>2041</v>
      </c>
      <c r="B42" s="13">
        <f t="shared" si="18"/>
        <v>1264</v>
      </c>
      <c r="C42" s="13">
        <f t="shared" si="19"/>
        <v>592.5</v>
      </c>
      <c r="D42" s="80">
        <f t="shared" si="20"/>
        <v>948</v>
      </c>
      <c r="E42" s="13">
        <f t="shared" si="21"/>
        <v>0</v>
      </c>
      <c r="F42" s="13">
        <f t="shared" si="22"/>
        <v>0</v>
      </c>
      <c r="G42" s="13">
        <f t="shared" si="6"/>
        <v>2804.5</v>
      </c>
      <c r="H42" s="13">
        <f t="shared" si="7"/>
        <v>1856.5</v>
      </c>
      <c r="I42" s="13">
        <f t="shared" si="8"/>
        <v>55339.5</v>
      </c>
      <c r="J42" s="80">
        <f t="shared" si="9"/>
        <v>7584</v>
      </c>
      <c r="K42" s="13">
        <f t="shared" si="10"/>
        <v>0</v>
      </c>
      <c r="L42" s="13">
        <f t="shared" si="11"/>
        <v>0</v>
      </c>
      <c r="N42" s="13">
        <f t="shared" si="12"/>
        <v>23700</v>
      </c>
      <c r="O42" s="13">
        <f t="shared" si="13"/>
        <v>86623.5</v>
      </c>
      <c r="P42" s="13">
        <f t="shared" si="23"/>
        <v>29704</v>
      </c>
      <c r="Q42" s="4">
        <v>0.0</v>
      </c>
      <c r="R42" s="13">
        <f t="shared" ref="R42:T42" si="54">X41</f>
        <v>15168</v>
      </c>
      <c r="S42" s="13">
        <f t="shared" si="54"/>
        <v>23700</v>
      </c>
      <c r="T42" s="13">
        <f t="shared" si="54"/>
        <v>0</v>
      </c>
      <c r="U42" s="13">
        <f t="shared" si="25"/>
        <v>68572</v>
      </c>
      <c r="V42" s="13">
        <f t="shared" si="15"/>
        <v>31560.5</v>
      </c>
      <c r="W42" s="4">
        <v>0.0</v>
      </c>
      <c r="X42" s="13">
        <f t="shared" ref="X42:Z42" si="55">R42+D42</f>
        <v>16116</v>
      </c>
      <c r="Y42" s="13">
        <f t="shared" si="55"/>
        <v>23700</v>
      </c>
      <c r="Z42" s="13">
        <f t="shared" si="55"/>
        <v>0</v>
      </c>
      <c r="AB42" s="13">
        <f t="shared" si="17"/>
        <v>71376.5</v>
      </c>
    </row>
    <row r="43" hidden="1">
      <c r="A43" s="80">
        <f t="shared" si="27"/>
        <v>2042</v>
      </c>
      <c r="B43" s="13">
        <f t="shared" si="18"/>
        <v>1264</v>
      </c>
      <c r="C43" s="13">
        <f t="shared" si="19"/>
        <v>592.5</v>
      </c>
      <c r="D43" s="80">
        <f t="shared" si="20"/>
        <v>948</v>
      </c>
      <c r="E43" s="13">
        <f t="shared" si="21"/>
        <v>0</v>
      </c>
      <c r="F43" s="13">
        <f t="shared" si="22"/>
        <v>0</v>
      </c>
      <c r="G43" s="13">
        <f t="shared" si="6"/>
        <v>2804.5</v>
      </c>
      <c r="H43" s="13">
        <f t="shared" si="7"/>
        <v>1856.5</v>
      </c>
      <c r="I43" s="13">
        <f t="shared" si="8"/>
        <v>53483</v>
      </c>
      <c r="J43" s="80">
        <f t="shared" si="9"/>
        <v>6636</v>
      </c>
      <c r="K43" s="13">
        <f t="shared" si="10"/>
        <v>0</v>
      </c>
      <c r="L43" s="13">
        <f t="shared" si="11"/>
        <v>0</v>
      </c>
      <c r="N43" s="13">
        <f t="shared" si="12"/>
        <v>23700</v>
      </c>
      <c r="O43" s="13">
        <f t="shared" si="13"/>
        <v>83819</v>
      </c>
      <c r="P43" s="13">
        <f t="shared" si="23"/>
        <v>31560.5</v>
      </c>
      <c r="Q43" s="4">
        <v>0.0</v>
      </c>
      <c r="R43" s="13">
        <f t="shared" ref="R43:T43" si="56">X42</f>
        <v>16116</v>
      </c>
      <c r="S43" s="13">
        <f t="shared" si="56"/>
        <v>23700</v>
      </c>
      <c r="T43" s="13">
        <f t="shared" si="56"/>
        <v>0</v>
      </c>
      <c r="U43" s="13">
        <f t="shared" si="25"/>
        <v>71376.5</v>
      </c>
      <c r="V43" s="13">
        <f t="shared" si="15"/>
        <v>33417</v>
      </c>
      <c r="W43" s="4">
        <v>0.0</v>
      </c>
      <c r="X43" s="13">
        <f t="shared" ref="X43:Z43" si="57">R43+D43</f>
        <v>17064</v>
      </c>
      <c r="Y43" s="13">
        <f t="shared" si="57"/>
        <v>23700</v>
      </c>
      <c r="Z43" s="13">
        <f t="shared" si="57"/>
        <v>0</v>
      </c>
      <c r="AB43" s="13">
        <f t="shared" si="17"/>
        <v>74181</v>
      </c>
    </row>
    <row r="44" hidden="1">
      <c r="A44" s="80">
        <f t="shared" si="27"/>
        <v>2043</v>
      </c>
      <c r="B44" s="13">
        <f t="shared" si="18"/>
        <v>1264</v>
      </c>
      <c r="C44" s="13">
        <f t="shared" si="19"/>
        <v>592.5</v>
      </c>
      <c r="D44" s="80">
        <f t="shared" si="20"/>
        <v>948</v>
      </c>
      <c r="E44" s="13">
        <f t="shared" si="21"/>
        <v>0</v>
      </c>
      <c r="F44" s="13">
        <f t="shared" si="22"/>
        <v>0</v>
      </c>
      <c r="G44" s="13">
        <f t="shared" si="6"/>
        <v>2804.5</v>
      </c>
      <c r="H44" s="13">
        <f t="shared" si="7"/>
        <v>1856.5</v>
      </c>
      <c r="I44" s="13">
        <f t="shared" si="8"/>
        <v>51626.5</v>
      </c>
      <c r="J44" s="80">
        <f t="shared" si="9"/>
        <v>5688</v>
      </c>
      <c r="K44" s="13">
        <f t="shared" si="10"/>
        <v>0</v>
      </c>
      <c r="L44" s="13">
        <f t="shared" si="11"/>
        <v>0</v>
      </c>
      <c r="N44" s="13">
        <f t="shared" si="12"/>
        <v>23700</v>
      </c>
      <c r="O44" s="13">
        <f t="shared" si="13"/>
        <v>81014.5</v>
      </c>
      <c r="P44" s="13">
        <f t="shared" si="23"/>
        <v>33417</v>
      </c>
      <c r="Q44" s="4">
        <v>0.0</v>
      </c>
      <c r="R44" s="13">
        <f t="shared" ref="R44:T44" si="58">X43</f>
        <v>17064</v>
      </c>
      <c r="S44" s="13">
        <f t="shared" si="58"/>
        <v>23700</v>
      </c>
      <c r="T44" s="13">
        <f t="shared" si="58"/>
        <v>0</v>
      </c>
      <c r="U44" s="13">
        <f t="shared" si="25"/>
        <v>74181</v>
      </c>
      <c r="V44" s="13">
        <f t="shared" si="15"/>
        <v>35273.5</v>
      </c>
      <c r="W44" s="4">
        <v>0.0</v>
      </c>
      <c r="X44" s="13">
        <f t="shared" ref="X44:Z44" si="59">R44+D44</f>
        <v>18012</v>
      </c>
      <c r="Y44" s="13">
        <f t="shared" si="59"/>
        <v>23700</v>
      </c>
      <c r="Z44" s="13">
        <f t="shared" si="59"/>
        <v>0</v>
      </c>
      <c r="AB44" s="13">
        <f t="shared" si="17"/>
        <v>76985.5</v>
      </c>
    </row>
    <row r="45" hidden="1">
      <c r="A45" s="80">
        <f t="shared" si="27"/>
        <v>2044</v>
      </c>
      <c r="B45" s="13">
        <f t="shared" si="18"/>
        <v>1264</v>
      </c>
      <c r="C45" s="13">
        <f t="shared" si="19"/>
        <v>592.5</v>
      </c>
      <c r="D45" s="80">
        <f t="shared" si="20"/>
        <v>948</v>
      </c>
      <c r="E45" s="13">
        <f t="shared" si="21"/>
        <v>0</v>
      </c>
      <c r="F45" s="13">
        <f t="shared" si="22"/>
        <v>0</v>
      </c>
      <c r="G45" s="13">
        <f t="shared" si="6"/>
        <v>2804.5</v>
      </c>
      <c r="H45" s="13">
        <f t="shared" si="7"/>
        <v>1856.5</v>
      </c>
      <c r="I45" s="13">
        <f t="shared" si="8"/>
        <v>49770</v>
      </c>
      <c r="J45" s="80">
        <f t="shared" si="9"/>
        <v>4740</v>
      </c>
      <c r="K45" s="13">
        <f t="shared" si="10"/>
        <v>0</v>
      </c>
      <c r="L45" s="13">
        <f t="shared" si="11"/>
        <v>0</v>
      </c>
      <c r="N45" s="13">
        <f t="shared" si="12"/>
        <v>23700</v>
      </c>
      <c r="O45" s="13">
        <f t="shared" si="13"/>
        <v>78210</v>
      </c>
      <c r="P45" s="13">
        <f t="shared" si="23"/>
        <v>35273.5</v>
      </c>
      <c r="Q45" s="4">
        <v>0.0</v>
      </c>
      <c r="R45" s="13">
        <f t="shared" ref="R45:T45" si="60">X44</f>
        <v>18012</v>
      </c>
      <c r="S45" s="13">
        <f t="shared" si="60"/>
        <v>23700</v>
      </c>
      <c r="T45" s="13">
        <f t="shared" si="60"/>
        <v>0</v>
      </c>
      <c r="U45" s="13">
        <f t="shared" si="25"/>
        <v>76985.5</v>
      </c>
      <c r="V45" s="13">
        <f t="shared" si="15"/>
        <v>37130</v>
      </c>
      <c r="W45" s="4">
        <v>0.0</v>
      </c>
      <c r="X45" s="13">
        <f t="shared" ref="X45:Z45" si="61">R45+D45</f>
        <v>18960</v>
      </c>
      <c r="Y45" s="13">
        <f t="shared" si="61"/>
        <v>23700</v>
      </c>
      <c r="Z45" s="13">
        <f t="shared" si="61"/>
        <v>0</v>
      </c>
      <c r="AB45" s="13">
        <f t="shared" si="17"/>
        <v>79790</v>
      </c>
    </row>
    <row r="46" hidden="1">
      <c r="A46" s="80">
        <f t="shared" si="27"/>
        <v>2045</v>
      </c>
      <c r="B46" s="13">
        <f t="shared" si="18"/>
        <v>1264</v>
      </c>
      <c r="C46" s="13">
        <f t="shared" si="19"/>
        <v>592.5</v>
      </c>
      <c r="D46" s="80">
        <f t="shared" si="20"/>
        <v>948</v>
      </c>
      <c r="E46" s="13">
        <f t="shared" si="21"/>
        <v>0</v>
      </c>
      <c r="F46" s="13">
        <f t="shared" si="22"/>
        <v>0</v>
      </c>
      <c r="G46" s="13">
        <f t="shared" si="6"/>
        <v>2804.5</v>
      </c>
      <c r="H46" s="13">
        <f t="shared" si="7"/>
        <v>1856.5</v>
      </c>
      <c r="I46" s="13">
        <f t="shared" si="8"/>
        <v>47913.5</v>
      </c>
      <c r="J46" s="80">
        <f t="shared" si="9"/>
        <v>3792</v>
      </c>
      <c r="K46" s="13">
        <f t="shared" si="10"/>
        <v>0</v>
      </c>
      <c r="L46" s="13">
        <f t="shared" si="11"/>
        <v>0</v>
      </c>
      <c r="N46" s="13">
        <f t="shared" si="12"/>
        <v>23700</v>
      </c>
      <c r="O46" s="13">
        <f t="shared" si="13"/>
        <v>75405.5</v>
      </c>
      <c r="P46" s="13">
        <f t="shared" si="23"/>
        <v>37130</v>
      </c>
      <c r="Q46" s="4">
        <v>0.0</v>
      </c>
      <c r="R46" s="13">
        <f t="shared" ref="R46:T46" si="62">X45</f>
        <v>18960</v>
      </c>
      <c r="S46" s="13">
        <f t="shared" si="62"/>
        <v>23700</v>
      </c>
      <c r="T46" s="13">
        <f t="shared" si="62"/>
        <v>0</v>
      </c>
      <c r="U46" s="13">
        <f t="shared" si="25"/>
        <v>79790</v>
      </c>
      <c r="V46" s="13">
        <f t="shared" si="15"/>
        <v>38986.5</v>
      </c>
      <c r="W46" s="4">
        <v>0.0</v>
      </c>
      <c r="X46" s="13">
        <f t="shared" ref="X46:Z46" si="63">R46+D46</f>
        <v>19908</v>
      </c>
      <c r="Y46" s="13">
        <f t="shared" si="63"/>
        <v>23700</v>
      </c>
      <c r="Z46" s="13">
        <f t="shared" si="63"/>
        <v>0</v>
      </c>
      <c r="AB46" s="13">
        <f t="shared" si="17"/>
        <v>82594.5</v>
      </c>
    </row>
    <row r="47" hidden="1">
      <c r="A47" s="80">
        <f t="shared" si="27"/>
        <v>2046</v>
      </c>
      <c r="B47" s="13">
        <f t="shared" si="18"/>
        <v>1264</v>
      </c>
      <c r="C47" s="13">
        <f t="shared" si="19"/>
        <v>592.5</v>
      </c>
      <c r="D47" s="80">
        <f t="shared" si="20"/>
        <v>948</v>
      </c>
      <c r="E47" s="13">
        <f t="shared" si="21"/>
        <v>0</v>
      </c>
      <c r="F47" s="13">
        <f t="shared" si="22"/>
        <v>0</v>
      </c>
      <c r="G47" s="13">
        <f t="shared" si="6"/>
        <v>2804.5</v>
      </c>
      <c r="H47" s="13">
        <f t="shared" si="7"/>
        <v>1856.5</v>
      </c>
      <c r="I47" s="13">
        <f t="shared" si="8"/>
        <v>46057</v>
      </c>
      <c r="J47" s="80">
        <f t="shared" si="9"/>
        <v>2844</v>
      </c>
      <c r="K47" s="13">
        <f t="shared" si="10"/>
        <v>0</v>
      </c>
      <c r="L47" s="13">
        <f t="shared" si="11"/>
        <v>0</v>
      </c>
      <c r="N47" s="13">
        <f t="shared" si="12"/>
        <v>23700</v>
      </c>
      <c r="O47" s="13">
        <f t="shared" si="13"/>
        <v>72601</v>
      </c>
      <c r="P47" s="13">
        <f t="shared" si="23"/>
        <v>38986.5</v>
      </c>
      <c r="Q47" s="4">
        <v>0.0</v>
      </c>
      <c r="R47" s="13">
        <f t="shared" ref="R47:T47" si="64">X46</f>
        <v>19908</v>
      </c>
      <c r="S47" s="13">
        <f t="shared" si="64"/>
        <v>23700</v>
      </c>
      <c r="T47" s="13">
        <f t="shared" si="64"/>
        <v>0</v>
      </c>
      <c r="U47" s="13">
        <f t="shared" si="25"/>
        <v>82594.5</v>
      </c>
      <c r="V47" s="13">
        <f t="shared" si="15"/>
        <v>40843</v>
      </c>
      <c r="W47" s="4">
        <v>0.0</v>
      </c>
      <c r="X47" s="13">
        <f t="shared" ref="X47:Z47" si="65">R47+D47</f>
        <v>20856</v>
      </c>
      <c r="Y47" s="13">
        <f t="shared" si="65"/>
        <v>23700</v>
      </c>
      <c r="Z47" s="13">
        <f t="shared" si="65"/>
        <v>0</v>
      </c>
      <c r="AB47" s="13">
        <f t="shared" si="17"/>
        <v>85399</v>
      </c>
    </row>
    <row r="48" hidden="1">
      <c r="A48" s="80">
        <f t="shared" si="27"/>
        <v>2047</v>
      </c>
      <c r="B48" s="13">
        <f t="shared" si="18"/>
        <v>1264</v>
      </c>
      <c r="C48" s="13">
        <f t="shared" si="19"/>
        <v>592.5</v>
      </c>
      <c r="D48" s="80">
        <f t="shared" si="20"/>
        <v>948</v>
      </c>
      <c r="E48" s="13">
        <f t="shared" si="21"/>
        <v>0</v>
      </c>
      <c r="F48" s="13">
        <f t="shared" si="22"/>
        <v>0</v>
      </c>
      <c r="G48" s="13">
        <f t="shared" si="6"/>
        <v>2804.5</v>
      </c>
      <c r="H48" s="13">
        <f t="shared" si="7"/>
        <v>1856.5</v>
      </c>
      <c r="I48" s="13">
        <f t="shared" si="8"/>
        <v>44200.5</v>
      </c>
      <c r="J48" s="80">
        <f t="shared" si="9"/>
        <v>1896</v>
      </c>
      <c r="K48" s="13">
        <f t="shared" si="10"/>
        <v>0</v>
      </c>
      <c r="L48" s="13">
        <f t="shared" si="11"/>
        <v>0</v>
      </c>
      <c r="N48" s="13">
        <f t="shared" si="12"/>
        <v>23700</v>
      </c>
      <c r="O48" s="13">
        <f t="shared" si="13"/>
        <v>69796.5</v>
      </c>
      <c r="P48" s="13">
        <f t="shared" si="23"/>
        <v>40843</v>
      </c>
      <c r="Q48" s="4">
        <v>0.0</v>
      </c>
      <c r="R48" s="13">
        <f t="shared" ref="R48:T48" si="66">X47</f>
        <v>20856</v>
      </c>
      <c r="S48" s="13">
        <f t="shared" si="66"/>
        <v>23700</v>
      </c>
      <c r="T48" s="13">
        <f t="shared" si="66"/>
        <v>0</v>
      </c>
      <c r="U48" s="13">
        <f t="shared" si="25"/>
        <v>85399</v>
      </c>
      <c r="V48" s="13">
        <f t="shared" si="15"/>
        <v>42699.5</v>
      </c>
      <c r="W48" s="4">
        <v>0.0</v>
      </c>
      <c r="X48" s="13">
        <f t="shared" ref="X48:Z48" si="67">R48+D48</f>
        <v>21804</v>
      </c>
      <c r="Y48" s="13">
        <f t="shared" si="67"/>
        <v>23700</v>
      </c>
      <c r="Z48" s="13">
        <f t="shared" si="67"/>
        <v>0</v>
      </c>
      <c r="AB48" s="13">
        <f t="shared" si="17"/>
        <v>88203.5</v>
      </c>
    </row>
    <row r="49" hidden="1">
      <c r="A49" s="80">
        <f t="shared" si="27"/>
        <v>2048</v>
      </c>
      <c r="B49" s="13">
        <f t="shared" si="18"/>
        <v>1264</v>
      </c>
      <c r="C49" s="13">
        <f t="shared" si="19"/>
        <v>592.5</v>
      </c>
      <c r="D49" s="80">
        <f t="shared" si="20"/>
        <v>948</v>
      </c>
      <c r="E49" s="13">
        <f t="shared" si="21"/>
        <v>0</v>
      </c>
      <c r="F49" s="13">
        <f t="shared" si="22"/>
        <v>0</v>
      </c>
      <c r="G49" s="13">
        <f t="shared" si="6"/>
        <v>2804.5</v>
      </c>
      <c r="H49" s="13">
        <f t="shared" si="7"/>
        <v>1856.5</v>
      </c>
      <c r="I49" s="13">
        <f t="shared" si="8"/>
        <v>42344</v>
      </c>
      <c r="J49" s="80">
        <f t="shared" si="9"/>
        <v>948</v>
      </c>
      <c r="K49" s="13">
        <f t="shared" si="10"/>
        <v>0</v>
      </c>
      <c r="L49" s="13">
        <f t="shared" si="11"/>
        <v>0</v>
      </c>
      <c r="N49" s="13">
        <f t="shared" si="12"/>
        <v>23700</v>
      </c>
      <c r="O49" s="13">
        <f t="shared" si="13"/>
        <v>66992</v>
      </c>
      <c r="P49" s="13">
        <f t="shared" si="23"/>
        <v>42699.5</v>
      </c>
      <c r="Q49" s="4">
        <v>0.0</v>
      </c>
      <c r="R49" s="13">
        <f t="shared" ref="R49:T49" si="68">X48</f>
        <v>21804</v>
      </c>
      <c r="S49" s="13">
        <f t="shared" si="68"/>
        <v>23700</v>
      </c>
      <c r="T49" s="13">
        <f t="shared" si="68"/>
        <v>0</v>
      </c>
      <c r="U49" s="13">
        <f t="shared" si="25"/>
        <v>88203.5</v>
      </c>
      <c r="V49" s="13">
        <f t="shared" si="15"/>
        <v>44556</v>
      </c>
      <c r="W49" s="4">
        <v>0.0</v>
      </c>
      <c r="X49" s="13">
        <f t="shared" ref="X49:Z49" si="69">R49+D49</f>
        <v>22752</v>
      </c>
      <c r="Y49" s="13">
        <f t="shared" si="69"/>
        <v>23700</v>
      </c>
      <c r="Z49" s="13">
        <f t="shared" si="69"/>
        <v>0</v>
      </c>
      <c r="AB49" s="13">
        <f t="shared" si="17"/>
        <v>91008</v>
      </c>
    </row>
    <row r="50" hidden="1">
      <c r="A50" s="80">
        <f t="shared" si="27"/>
        <v>2049</v>
      </c>
      <c r="B50" s="13">
        <f t="shared" si="18"/>
        <v>1264</v>
      </c>
      <c r="C50" s="13">
        <f t="shared" si="19"/>
        <v>592.5</v>
      </c>
      <c r="D50" s="80">
        <f t="shared" si="20"/>
        <v>948</v>
      </c>
      <c r="E50" s="13">
        <f t="shared" si="21"/>
        <v>0</v>
      </c>
      <c r="F50" s="13">
        <f t="shared" si="22"/>
        <v>0</v>
      </c>
      <c r="G50" s="13">
        <f t="shared" si="6"/>
        <v>2804.5</v>
      </c>
      <c r="H50" s="13">
        <f t="shared" si="7"/>
        <v>1856.5</v>
      </c>
      <c r="I50" s="13">
        <f t="shared" si="8"/>
        <v>40487.5</v>
      </c>
      <c r="J50" s="80">
        <f t="shared" si="9"/>
        <v>0</v>
      </c>
      <c r="K50" s="13">
        <f t="shared" si="10"/>
        <v>0</v>
      </c>
      <c r="L50" s="13">
        <f t="shared" si="11"/>
        <v>0</v>
      </c>
      <c r="N50" s="13">
        <f t="shared" si="12"/>
        <v>23700</v>
      </c>
      <c r="O50" s="13">
        <f t="shared" si="13"/>
        <v>64187.5</v>
      </c>
      <c r="P50" s="13">
        <f t="shared" si="23"/>
        <v>44556</v>
      </c>
      <c r="Q50" s="4">
        <v>0.0</v>
      </c>
      <c r="R50" s="13">
        <f t="shared" ref="R50:T50" si="70">X49</f>
        <v>22752</v>
      </c>
      <c r="S50" s="13">
        <f t="shared" si="70"/>
        <v>23700</v>
      </c>
      <c r="T50" s="13">
        <f t="shared" si="70"/>
        <v>0</v>
      </c>
      <c r="U50" s="13">
        <f t="shared" si="25"/>
        <v>91008</v>
      </c>
      <c r="V50" s="13">
        <f t="shared" si="15"/>
        <v>46412.5</v>
      </c>
      <c r="W50" s="4">
        <v>0.0</v>
      </c>
      <c r="X50" s="13">
        <f t="shared" ref="X50:Z50" si="71">R50+D50</f>
        <v>23700</v>
      </c>
      <c r="Y50" s="13">
        <f t="shared" si="71"/>
        <v>23700</v>
      </c>
      <c r="Z50" s="13">
        <f t="shared" si="71"/>
        <v>0</v>
      </c>
      <c r="AB50" s="13">
        <f t="shared" si="17"/>
        <v>93812.5</v>
      </c>
    </row>
    <row r="51" hidden="1">
      <c r="A51" s="80">
        <f t="shared" si="27"/>
        <v>2050</v>
      </c>
      <c r="B51" s="13">
        <f t="shared" si="18"/>
        <v>1264</v>
      </c>
      <c r="C51" s="13">
        <f t="shared" si="19"/>
        <v>592.5</v>
      </c>
      <c r="D51" s="80">
        <f t="shared" si="20"/>
        <v>0</v>
      </c>
      <c r="E51" s="13">
        <f t="shared" si="21"/>
        <v>0</v>
      </c>
      <c r="F51" s="13">
        <f t="shared" si="22"/>
        <v>0</v>
      </c>
      <c r="G51" s="13">
        <f t="shared" si="6"/>
        <v>1856.5</v>
      </c>
      <c r="H51" s="13">
        <f t="shared" si="7"/>
        <v>1856.5</v>
      </c>
      <c r="I51" s="13">
        <f t="shared" si="8"/>
        <v>38631</v>
      </c>
      <c r="J51" s="80">
        <f t="shared" si="9"/>
        <v>0</v>
      </c>
      <c r="K51" s="13">
        <f t="shared" si="10"/>
        <v>0</v>
      </c>
      <c r="L51" s="13">
        <f t="shared" si="11"/>
        <v>0</v>
      </c>
      <c r="N51" s="13">
        <f t="shared" si="12"/>
        <v>23700</v>
      </c>
      <c r="O51" s="13">
        <f t="shared" si="13"/>
        <v>62331</v>
      </c>
      <c r="P51" s="13">
        <f t="shared" si="23"/>
        <v>46412.5</v>
      </c>
      <c r="Q51" s="4">
        <v>0.0</v>
      </c>
      <c r="R51" s="13">
        <f t="shared" ref="R51:T51" si="72">X50</f>
        <v>23700</v>
      </c>
      <c r="S51" s="13">
        <f t="shared" si="72"/>
        <v>23700</v>
      </c>
      <c r="T51" s="13">
        <f t="shared" si="72"/>
        <v>0</v>
      </c>
      <c r="U51" s="13">
        <f t="shared" si="25"/>
        <v>93812.5</v>
      </c>
      <c r="V51" s="13">
        <f t="shared" si="15"/>
        <v>48269</v>
      </c>
      <c r="W51" s="4">
        <v>0.0</v>
      </c>
      <c r="X51" s="13">
        <f t="shared" ref="X51:Z51" si="73">R51+D51</f>
        <v>23700</v>
      </c>
      <c r="Y51" s="13">
        <f t="shared" si="73"/>
        <v>23700</v>
      </c>
      <c r="Z51" s="13">
        <f t="shared" si="73"/>
        <v>0</v>
      </c>
      <c r="AB51" s="13">
        <f t="shared" si="17"/>
        <v>95669</v>
      </c>
    </row>
    <row r="52" hidden="1">
      <c r="A52" s="80">
        <f t="shared" si="27"/>
        <v>2051</v>
      </c>
      <c r="B52" s="13">
        <f t="shared" si="18"/>
        <v>1264</v>
      </c>
      <c r="C52" s="13">
        <f t="shared" si="19"/>
        <v>592.5</v>
      </c>
      <c r="D52" s="80">
        <f t="shared" si="20"/>
        <v>0</v>
      </c>
      <c r="E52" s="13">
        <f t="shared" si="21"/>
        <v>0</v>
      </c>
      <c r="F52" s="13">
        <f t="shared" si="22"/>
        <v>0</v>
      </c>
      <c r="G52" s="13">
        <f t="shared" si="6"/>
        <v>1856.5</v>
      </c>
      <c r="H52" s="13">
        <f t="shared" si="7"/>
        <v>1856.5</v>
      </c>
      <c r="I52" s="13">
        <f t="shared" si="8"/>
        <v>36774.5</v>
      </c>
      <c r="J52" s="80">
        <f t="shared" si="9"/>
        <v>0</v>
      </c>
      <c r="K52" s="13">
        <f t="shared" si="10"/>
        <v>0</v>
      </c>
      <c r="L52" s="13">
        <f t="shared" si="11"/>
        <v>0</v>
      </c>
      <c r="N52" s="13">
        <f t="shared" si="12"/>
        <v>23700</v>
      </c>
      <c r="O52" s="13">
        <f t="shared" si="13"/>
        <v>60474.5</v>
      </c>
      <c r="P52" s="13">
        <f t="shared" si="23"/>
        <v>48269</v>
      </c>
      <c r="Q52" s="4">
        <v>0.0</v>
      </c>
      <c r="R52" s="13">
        <f t="shared" ref="R52:T52" si="74">X51</f>
        <v>23700</v>
      </c>
      <c r="S52" s="13">
        <f t="shared" si="74"/>
        <v>23700</v>
      </c>
      <c r="T52" s="13">
        <f t="shared" si="74"/>
        <v>0</v>
      </c>
      <c r="U52" s="13">
        <f t="shared" si="25"/>
        <v>95669</v>
      </c>
      <c r="V52" s="13">
        <f t="shared" si="15"/>
        <v>50125.5</v>
      </c>
      <c r="W52" s="4">
        <v>0.0</v>
      </c>
      <c r="X52" s="13">
        <f t="shared" ref="X52:Z52" si="75">R52+D52</f>
        <v>23700</v>
      </c>
      <c r="Y52" s="13">
        <f t="shared" si="75"/>
        <v>23700</v>
      </c>
      <c r="Z52" s="13">
        <f t="shared" si="75"/>
        <v>0</v>
      </c>
      <c r="AB52" s="13">
        <f t="shared" si="17"/>
        <v>97525.5</v>
      </c>
    </row>
    <row r="53" hidden="1">
      <c r="A53" s="80">
        <f t="shared" si="27"/>
        <v>2052</v>
      </c>
      <c r="B53" s="13">
        <f t="shared" si="18"/>
        <v>1264</v>
      </c>
      <c r="C53" s="13">
        <f t="shared" si="19"/>
        <v>592.5</v>
      </c>
      <c r="D53" s="80">
        <f t="shared" si="20"/>
        <v>0</v>
      </c>
      <c r="E53" s="13">
        <f t="shared" si="21"/>
        <v>0</v>
      </c>
      <c r="F53" s="13">
        <f t="shared" si="22"/>
        <v>0</v>
      </c>
      <c r="G53" s="13">
        <f t="shared" si="6"/>
        <v>1856.5</v>
      </c>
      <c r="H53" s="13">
        <f t="shared" si="7"/>
        <v>1856.5</v>
      </c>
      <c r="I53" s="13">
        <f t="shared" si="8"/>
        <v>34918</v>
      </c>
      <c r="J53" s="80">
        <f t="shared" si="9"/>
        <v>0</v>
      </c>
      <c r="K53" s="13">
        <f t="shared" si="10"/>
        <v>0</v>
      </c>
      <c r="L53" s="13">
        <f t="shared" si="11"/>
        <v>0</v>
      </c>
      <c r="N53" s="13">
        <f t="shared" si="12"/>
        <v>23700</v>
      </c>
      <c r="O53" s="13">
        <f t="shared" si="13"/>
        <v>58618</v>
      </c>
      <c r="P53" s="13">
        <f t="shared" si="23"/>
        <v>50125.5</v>
      </c>
      <c r="Q53" s="4">
        <v>0.0</v>
      </c>
      <c r="R53" s="13">
        <f t="shared" ref="R53:T53" si="76">X52</f>
        <v>23700</v>
      </c>
      <c r="S53" s="13">
        <f t="shared" si="76"/>
        <v>23700</v>
      </c>
      <c r="T53" s="13">
        <f t="shared" si="76"/>
        <v>0</v>
      </c>
      <c r="U53" s="13">
        <f t="shared" si="25"/>
        <v>97525.5</v>
      </c>
      <c r="V53" s="13">
        <f t="shared" si="15"/>
        <v>51982</v>
      </c>
      <c r="W53" s="4">
        <v>0.0</v>
      </c>
      <c r="X53" s="13">
        <f t="shared" ref="X53:Z53" si="77">R53+D53</f>
        <v>23700</v>
      </c>
      <c r="Y53" s="13">
        <f t="shared" si="77"/>
        <v>23700</v>
      </c>
      <c r="Z53" s="13">
        <f t="shared" si="77"/>
        <v>0</v>
      </c>
      <c r="AB53" s="13">
        <f t="shared" si="17"/>
        <v>99382</v>
      </c>
    </row>
    <row r="54" hidden="1">
      <c r="A54" s="80">
        <f t="shared" si="27"/>
        <v>2053</v>
      </c>
      <c r="B54" s="13">
        <f t="shared" si="18"/>
        <v>1264</v>
      </c>
      <c r="C54" s="13">
        <f t="shared" si="19"/>
        <v>592.5</v>
      </c>
      <c r="D54" s="80">
        <f t="shared" si="20"/>
        <v>0</v>
      </c>
      <c r="E54" s="13">
        <f t="shared" si="21"/>
        <v>0</v>
      </c>
      <c r="F54" s="13">
        <f t="shared" si="22"/>
        <v>0</v>
      </c>
      <c r="G54" s="13">
        <f t="shared" si="6"/>
        <v>1856.5</v>
      </c>
      <c r="H54" s="13">
        <f t="shared" si="7"/>
        <v>1856.5</v>
      </c>
      <c r="I54" s="13">
        <f t="shared" si="8"/>
        <v>33061.5</v>
      </c>
      <c r="J54" s="80">
        <f t="shared" si="9"/>
        <v>0</v>
      </c>
      <c r="K54" s="13">
        <f t="shared" si="10"/>
        <v>0</v>
      </c>
      <c r="L54" s="13">
        <f t="shared" si="11"/>
        <v>0</v>
      </c>
      <c r="N54" s="13">
        <f t="shared" si="12"/>
        <v>23700</v>
      </c>
      <c r="O54" s="13">
        <f t="shared" si="13"/>
        <v>56761.5</v>
      </c>
      <c r="P54" s="13">
        <f t="shared" si="23"/>
        <v>51982</v>
      </c>
      <c r="Q54" s="4">
        <v>0.0</v>
      </c>
      <c r="R54" s="13">
        <f t="shared" ref="R54:T54" si="78">X53</f>
        <v>23700</v>
      </c>
      <c r="S54" s="13">
        <f t="shared" si="78"/>
        <v>23700</v>
      </c>
      <c r="T54" s="13">
        <f t="shared" si="78"/>
        <v>0</v>
      </c>
      <c r="U54" s="13">
        <f t="shared" si="25"/>
        <v>99382</v>
      </c>
      <c r="V54" s="13">
        <f t="shared" si="15"/>
        <v>53838.5</v>
      </c>
      <c r="W54" s="4">
        <v>0.0</v>
      </c>
      <c r="X54" s="13">
        <f t="shared" ref="X54:Z54" si="79">R54+D54</f>
        <v>23700</v>
      </c>
      <c r="Y54" s="13">
        <f t="shared" si="79"/>
        <v>23700</v>
      </c>
      <c r="Z54" s="13">
        <f t="shared" si="79"/>
        <v>0</v>
      </c>
      <c r="AB54" s="13">
        <f t="shared" si="17"/>
        <v>101238.5</v>
      </c>
    </row>
    <row r="55" hidden="1">
      <c r="A55" s="80">
        <f t="shared" si="27"/>
        <v>2054</v>
      </c>
      <c r="B55" s="13">
        <f t="shared" si="18"/>
        <v>1264</v>
      </c>
      <c r="C55" s="13">
        <f t="shared" si="19"/>
        <v>592.5</v>
      </c>
      <c r="D55" s="80">
        <f t="shared" si="20"/>
        <v>0</v>
      </c>
      <c r="E55" s="13">
        <f t="shared" si="21"/>
        <v>0</v>
      </c>
      <c r="F55" s="13">
        <f t="shared" si="22"/>
        <v>0</v>
      </c>
      <c r="G55" s="13">
        <f t="shared" si="6"/>
        <v>1856.5</v>
      </c>
      <c r="H55" s="13">
        <f t="shared" si="7"/>
        <v>1856.5</v>
      </c>
      <c r="I55" s="13">
        <f t="shared" si="8"/>
        <v>31205</v>
      </c>
      <c r="J55" s="80">
        <f t="shared" si="9"/>
        <v>0</v>
      </c>
      <c r="K55" s="13">
        <f t="shared" si="10"/>
        <v>0</v>
      </c>
      <c r="L55" s="13">
        <f t="shared" si="11"/>
        <v>0</v>
      </c>
      <c r="N55" s="13">
        <f t="shared" si="12"/>
        <v>23700</v>
      </c>
      <c r="O55" s="13">
        <f t="shared" si="13"/>
        <v>54905</v>
      </c>
      <c r="P55" s="13">
        <f t="shared" si="23"/>
        <v>53838.5</v>
      </c>
      <c r="Q55" s="4">
        <v>0.0</v>
      </c>
      <c r="R55" s="13">
        <f t="shared" ref="R55:T55" si="80">X54</f>
        <v>23700</v>
      </c>
      <c r="S55" s="13">
        <f t="shared" si="80"/>
        <v>23700</v>
      </c>
      <c r="T55" s="13">
        <f t="shared" si="80"/>
        <v>0</v>
      </c>
      <c r="U55" s="13">
        <f t="shared" si="25"/>
        <v>101238.5</v>
      </c>
      <c r="V55" s="13">
        <f t="shared" si="15"/>
        <v>55695</v>
      </c>
      <c r="W55" s="4">
        <v>0.0</v>
      </c>
      <c r="X55" s="13">
        <f t="shared" ref="X55:Z55" si="81">R55+D55</f>
        <v>23700</v>
      </c>
      <c r="Y55" s="13">
        <f t="shared" si="81"/>
        <v>23700</v>
      </c>
      <c r="Z55" s="13">
        <f t="shared" si="81"/>
        <v>0</v>
      </c>
      <c r="AB55" s="13">
        <f t="shared" si="17"/>
        <v>103095</v>
      </c>
    </row>
    <row r="56" hidden="1">
      <c r="A56" s="80">
        <f t="shared" si="27"/>
        <v>2055</v>
      </c>
      <c r="B56" s="13">
        <f t="shared" si="18"/>
        <v>1264</v>
      </c>
      <c r="C56" s="13">
        <f t="shared" si="19"/>
        <v>592.5</v>
      </c>
      <c r="D56" s="80">
        <f t="shared" si="20"/>
        <v>0</v>
      </c>
      <c r="E56" s="13">
        <f t="shared" si="21"/>
        <v>0</v>
      </c>
      <c r="F56" s="13">
        <f t="shared" si="22"/>
        <v>0</v>
      </c>
      <c r="G56" s="13">
        <f t="shared" si="6"/>
        <v>1856.5</v>
      </c>
      <c r="H56" s="13">
        <f t="shared" si="7"/>
        <v>1856.5</v>
      </c>
      <c r="I56" s="13">
        <f t="shared" si="8"/>
        <v>29348.5</v>
      </c>
      <c r="J56" s="80">
        <f t="shared" si="9"/>
        <v>0</v>
      </c>
      <c r="K56" s="13">
        <f t="shared" si="10"/>
        <v>0</v>
      </c>
      <c r="L56" s="13">
        <f t="shared" si="11"/>
        <v>0</v>
      </c>
      <c r="N56" s="13">
        <f t="shared" si="12"/>
        <v>23700</v>
      </c>
      <c r="O56" s="13">
        <f t="shared" si="13"/>
        <v>53048.5</v>
      </c>
      <c r="P56" s="13">
        <f t="shared" si="23"/>
        <v>55695</v>
      </c>
      <c r="Q56" s="4">
        <v>0.0</v>
      </c>
      <c r="R56" s="13">
        <f t="shared" ref="R56:T56" si="82">X55</f>
        <v>23700</v>
      </c>
      <c r="S56" s="13">
        <f t="shared" si="82"/>
        <v>23700</v>
      </c>
      <c r="T56" s="13">
        <f t="shared" si="82"/>
        <v>0</v>
      </c>
      <c r="U56" s="13">
        <f t="shared" si="25"/>
        <v>103095</v>
      </c>
      <c r="V56" s="13">
        <f t="shared" si="15"/>
        <v>57551.5</v>
      </c>
      <c r="W56" s="4">
        <v>0.0</v>
      </c>
      <c r="X56" s="13">
        <f t="shared" ref="X56:Z56" si="83">R56+D56</f>
        <v>23700</v>
      </c>
      <c r="Y56" s="13">
        <f t="shared" si="83"/>
        <v>23700</v>
      </c>
      <c r="Z56" s="13">
        <f t="shared" si="83"/>
        <v>0</v>
      </c>
      <c r="AB56" s="13">
        <f t="shared" si="17"/>
        <v>104951.5</v>
      </c>
    </row>
    <row r="57" hidden="1">
      <c r="A57" s="80">
        <f t="shared" si="27"/>
        <v>2056</v>
      </c>
      <c r="B57" s="13">
        <f t="shared" si="18"/>
        <v>1264</v>
      </c>
      <c r="C57" s="13">
        <f t="shared" si="19"/>
        <v>592.5</v>
      </c>
      <c r="D57" s="80">
        <f t="shared" si="20"/>
        <v>0</v>
      </c>
      <c r="E57" s="13">
        <f t="shared" si="21"/>
        <v>0</v>
      </c>
      <c r="F57" s="13">
        <f t="shared" si="22"/>
        <v>0</v>
      </c>
      <c r="G57" s="13">
        <f t="shared" si="6"/>
        <v>1856.5</v>
      </c>
      <c r="H57" s="13">
        <f t="shared" si="7"/>
        <v>1856.5</v>
      </c>
      <c r="I57" s="13">
        <f t="shared" si="8"/>
        <v>27492</v>
      </c>
      <c r="J57" s="80">
        <f t="shared" si="9"/>
        <v>0</v>
      </c>
      <c r="K57" s="13">
        <f t="shared" si="10"/>
        <v>0</v>
      </c>
      <c r="L57" s="13">
        <f t="shared" si="11"/>
        <v>0</v>
      </c>
      <c r="N57" s="13">
        <f t="shared" si="12"/>
        <v>23700</v>
      </c>
      <c r="O57" s="13">
        <f t="shared" si="13"/>
        <v>51192</v>
      </c>
      <c r="P57" s="13">
        <f t="shared" si="23"/>
        <v>57551.5</v>
      </c>
      <c r="Q57" s="4">
        <v>0.0</v>
      </c>
      <c r="R57" s="13">
        <f t="shared" ref="R57:T57" si="84">X56</f>
        <v>23700</v>
      </c>
      <c r="S57" s="13">
        <f t="shared" si="84"/>
        <v>23700</v>
      </c>
      <c r="T57" s="13">
        <f t="shared" si="84"/>
        <v>0</v>
      </c>
      <c r="U57" s="13">
        <f t="shared" si="25"/>
        <v>104951.5</v>
      </c>
      <c r="V57" s="13">
        <f t="shared" si="15"/>
        <v>59408</v>
      </c>
      <c r="W57" s="4">
        <v>0.0</v>
      </c>
      <c r="X57" s="13">
        <f t="shared" ref="X57:Z57" si="85">R57+D57</f>
        <v>23700</v>
      </c>
      <c r="Y57" s="13">
        <f t="shared" si="85"/>
        <v>23700</v>
      </c>
      <c r="Z57" s="13">
        <f t="shared" si="85"/>
        <v>0</v>
      </c>
      <c r="AB57" s="13">
        <f t="shared" si="17"/>
        <v>106808</v>
      </c>
    </row>
    <row r="58" hidden="1">
      <c r="A58" s="80">
        <f t="shared" si="27"/>
        <v>2057</v>
      </c>
      <c r="B58" s="13">
        <f t="shared" si="18"/>
        <v>1264</v>
      </c>
      <c r="C58" s="13">
        <f t="shared" si="19"/>
        <v>592.5</v>
      </c>
      <c r="D58" s="80">
        <f t="shared" si="20"/>
        <v>0</v>
      </c>
      <c r="E58" s="13">
        <f t="shared" si="21"/>
        <v>0</v>
      </c>
      <c r="F58" s="13">
        <f t="shared" si="22"/>
        <v>0</v>
      </c>
      <c r="G58" s="13">
        <f t="shared" si="6"/>
        <v>1856.5</v>
      </c>
      <c r="H58" s="13">
        <f t="shared" si="7"/>
        <v>1856.5</v>
      </c>
      <c r="I58" s="13">
        <f t="shared" si="8"/>
        <v>25635.5</v>
      </c>
      <c r="J58" s="80">
        <f t="shared" si="9"/>
        <v>0</v>
      </c>
      <c r="K58" s="13">
        <f t="shared" si="10"/>
        <v>0</v>
      </c>
      <c r="L58" s="13">
        <f t="shared" si="11"/>
        <v>0</v>
      </c>
      <c r="N58" s="13">
        <f t="shared" si="12"/>
        <v>23700</v>
      </c>
      <c r="O58" s="13">
        <f t="shared" si="13"/>
        <v>49335.5</v>
      </c>
      <c r="P58" s="13">
        <f t="shared" si="23"/>
        <v>59408</v>
      </c>
      <c r="Q58" s="4">
        <v>0.0</v>
      </c>
      <c r="R58" s="13">
        <f t="shared" ref="R58:T58" si="86">X57</f>
        <v>23700</v>
      </c>
      <c r="S58" s="13">
        <f t="shared" si="86"/>
        <v>23700</v>
      </c>
      <c r="T58" s="13">
        <f t="shared" si="86"/>
        <v>0</v>
      </c>
      <c r="U58" s="13">
        <f t="shared" si="25"/>
        <v>106808</v>
      </c>
      <c r="V58" s="13">
        <f t="shared" si="15"/>
        <v>61264.5</v>
      </c>
      <c r="W58" s="4">
        <v>0.0</v>
      </c>
      <c r="X58" s="13">
        <f t="shared" ref="X58:Z58" si="87">R58+D58</f>
        <v>23700</v>
      </c>
      <c r="Y58" s="13">
        <f t="shared" si="87"/>
        <v>23700</v>
      </c>
      <c r="Z58" s="13">
        <f t="shared" si="87"/>
        <v>0</v>
      </c>
      <c r="AB58" s="13">
        <f t="shared" si="17"/>
        <v>108664.5</v>
      </c>
    </row>
    <row r="59" hidden="1">
      <c r="A59" s="80">
        <f t="shared" si="27"/>
        <v>2058</v>
      </c>
      <c r="B59" s="13">
        <f t="shared" si="18"/>
        <v>1264</v>
      </c>
      <c r="C59" s="13">
        <f t="shared" si="19"/>
        <v>592.5</v>
      </c>
      <c r="D59" s="80">
        <f t="shared" si="20"/>
        <v>0</v>
      </c>
      <c r="E59" s="13">
        <f t="shared" si="21"/>
        <v>0</v>
      </c>
      <c r="F59" s="13">
        <f t="shared" si="22"/>
        <v>0</v>
      </c>
      <c r="G59" s="13">
        <f t="shared" si="6"/>
        <v>1856.5</v>
      </c>
      <c r="H59" s="13">
        <f t="shared" si="7"/>
        <v>1856.5</v>
      </c>
      <c r="I59" s="13">
        <f t="shared" si="8"/>
        <v>23779</v>
      </c>
      <c r="J59" s="80">
        <f t="shared" si="9"/>
        <v>0</v>
      </c>
      <c r="K59" s="13">
        <f t="shared" si="10"/>
        <v>0</v>
      </c>
      <c r="L59" s="13">
        <f t="shared" si="11"/>
        <v>0</v>
      </c>
      <c r="N59" s="13">
        <f t="shared" si="12"/>
        <v>23700</v>
      </c>
      <c r="O59" s="13">
        <f t="shared" si="13"/>
        <v>47479</v>
      </c>
      <c r="P59" s="13">
        <f t="shared" si="23"/>
        <v>61264.5</v>
      </c>
      <c r="Q59" s="4">
        <v>0.0</v>
      </c>
      <c r="R59" s="13">
        <f t="shared" ref="R59:T59" si="88">X58</f>
        <v>23700</v>
      </c>
      <c r="S59" s="13">
        <f t="shared" si="88"/>
        <v>23700</v>
      </c>
      <c r="T59" s="13">
        <f t="shared" si="88"/>
        <v>0</v>
      </c>
      <c r="U59" s="13">
        <f t="shared" si="25"/>
        <v>108664.5</v>
      </c>
      <c r="V59" s="13">
        <f t="shared" si="15"/>
        <v>63121</v>
      </c>
      <c r="W59" s="4">
        <v>0.0</v>
      </c>
      <c r="X59" s="13">
        <f t="shared" ref="X59:Z59" si="89">R59+D59</f>
        <v>23700</v>
      </c>
      <c r="Y59" s="13">
        <f t="shared" si="89"/>
        <v>23700</v>
      </c>
      <c r="Z59" s="13">
        <f t="shared" si="89"/>
        <v>0</v>
      </c>
      <c r="AB59" s="13">
        <f t="shared" si="17"/>
        <v>110521</v>
      </c>
    </row>
    <row r="60" hidden="1">
      <c r="A60" s="80">
        <f t="shared" si="27"/>
        <v>2059</v>
      </c>
      <c r="B60" s="13">
        <f t="shared" si="18"/>
        <v>1264</v>
      </c>
      <c r="C60" s="13">
        <f t="shared" si="19"/>
        <v>592.5</v>
      </c>
      <c r="D60" s="80">
        <f t="shared" si="20"/>
        <v>0</v>
      </c>
      <c r="E60" s="13">
        <f t="shared" si="21"/>
        <v>0</v>
      </c>
      <c r="F60" s="13">
        <f t="shared" si="22"/>
        <v>0</v>
      </c>
      <c r="G60" s="13">
        <f t="shared" si="6"/>
        <v>1856.5</v>
      </c>
      <c r="H60" s="13">
        <f t="shared" si="7"/>
        <v>1856.5</v>
      </c>
      <c r="I60" s="13">
        <f t="shared" si="8"/>
        <v>21922.5</v>
      </c>
      <c r="J60" s="80">
        <f t="shared" si="9"/>
        <v>0</v>
      </c>
      <c r="K60" s="13">
        <f t="shared" si="10"/>
        <v>0</v>
      </c>
      <c r="L60" s="13">
        <f t="shared" si="11"/>
        <v>0</v>
      </c>
      <c r="N60" s="13">
        <f t="shared" si="12"/>
        <v>23700</v>
      </c>
      <c r="O60" s="13">
        <f t="shared" si="13"/>
        <v>45622.5</v>
      </c>
      <c r="P60" s="13">
        <f t="shared" si="23"/>
        <v>63121</v>
      </c>
      <c r="Q60" s="4">
        <v>0.0</v>
      </c>
      <c r="R60" s="13">
        <f t="shared" ref="R60:T60" si="90">X59</f>
        <v>23700</v>
      </c>
      <c r="S60" s="13">
        <f t="shared" si="90"/>
        <v>23700</v>
      </c>
      <c r="T60" s="13">
        <f t="shared" si="90"/>
        <v>0</v>
      </c>
      <c r="U60" s="13">
        <f t="shared" si="25"/>
        <v>110521</v>
      </c>
      <c r="V60" s="13">
        <f t="shared" si="15"/>
        <v>64977.5</v>
      </c>
      <c r="W60" s="4">
        <v>0.0</v>
      </c>
      <c r="X60" s="13">
        <f t="shared" ref="X60:Z60" si="91">R60+D60</f>
        <v>23700</v>
      </c>
      <c r="Y60" s="13">
        <f t="shared" si="91"/>
        <v>23700</v>
      </c>
      <c r="Z60" s="13">
        <f t="shared" si="91"/>
        <v>0</v>
      </c>
      <c r="AB60" s="13">
        <f t="shared" si="17"/>
        <v>112377.5</v>
      </c>
    </row>
    <row r="61" hidden="1">
      <c r="A61" s="80">
        <f t="shared" si="27"/>
        <v>2060</v>
      </c>
      <c r="B61" s="13">
        <f t="shared" si="18"/>
        <v>1264</v>
      </c>
      <c r="C61" s="13">
        <f t="shared" si="19"/>
        <v>592.5</v>
      </c>
      <c r="D61" s="80">
        <f t="shared" si="20"/>
        <v>0</v>
      </c>
      <c r="E61" s="13">
        <f t="shared" si="21"/>
        <v>0</v>
      </c>
      <c r="F61" s="13">
        <f t="shared" si="22"/>
        <v>0</v>
      </c>
      <c r="G61" s="13">
        <f t="shared" si="6"/>
        <v>1856.5</v>
      </c>
      <c r="H61" s="13">
        <f t="shared" si="7"/>
        <v>1856.5</v>
      </c>
      <c r="I61" s="13">
        <f t="shared" si="8"/>
        <v>20066</v>
      </c>
      <c r="J61" s="80">
        <f t="shared" si="9"/>
        <v>0</v>
      </c>
      <c r="K61" s="13">
        <f t="shared" si="10"/>
        <v>0</v>
      </c>
      <c r="L61" s="13">
        <f t="shared" si="11"/>
        <v>0</v>
      </c>
      <c r="N61" s="13">
        <f t="shared" si="12"/>
        <v>23700</v>
      </c>
      <c r="O61" s="13">
        <f t="shared" si="13"/>
        <v>43766</v>
      </c>
      <c r="P61" s="13">
        <f t="shared" si="23"/>
        <v>64977.5</v>
      </c>
      <c r="Q61" s="4">
        <v>0.0</v>
      </c>
      <c r="R61" s="13">
        <f t="shared" ref="R61:T61" si="92">X60</f>
        <v>23700</v>
      </c>
      <c r="S61" s="13">
        <f t="shared" si="92"/>
        <v>23700</v>
      </c>
      <c r="T61" s="13">
        <f t="shared" si="92"/>
        <v>0</v>
      </c>
      <c r="U61" s="13">
        <f t="shared" si="25"/>
        <v>112377.5</v>
      </c>
      <c r="V61" s="13">
        <f t="shared" si="15"/>
        <v>66834</v>
      </c>
      <c r="W61" s="4">
        <v>0.0</v>
      </c>
      <c r="X61" s="13">
        <f t="shared" ref="X61:Z61" si="93">R61+D61</f>
        <v>23700</v>
      </c>
      <c r="Y61" s="13">
        <f t="shared" si="93"/>
        <v>23700</v>
      </c>
      <c r="Z61" s="13">
        <f t="shared" si="93"/>
        <v>0</v>
      </c>
      <c r="AB61" s="13">
        <f t="shared" si="17"/>
        <v>114234</v>
      </c>
    </row>
    <row r="62" hidden="1">
      <c r="A62" s="80">
        <f t="shared" si="27"/>
        <v>2061</v>
      </c>
      <c r="B62" s="13">
        <f t="shared" si="18"/>
        <v>1264</v>
      </c>
      <c r="C62" s="13">
        <f t="shared" si="19"/>
        <v>592.5</v>
      </c>
      <c r="D62" s="80">
        <f t="shared" si="20"/>
        <v>0</v>
      </c>
      <c r="E62" s="13">
        <f t="shared" si="21"/>
        <v>0</v>
      </c>
      <c r="F62" s="13">
        <f t="shared" si="22"/>
        <v>0</v>
      </c>
      <c r="G62" s="13">
        <f t="shared" si="6"/>
        <v>1856.5</v>
      </c>
      <c r="H62" s="13">
        <f t="shared" si="7"/>
        <v>1856.5</v>
      </c>
      <c r="I62" s="13">
        <f t="shared" si="8"/>
        <v>18209.5</v>
      </c>
      <c r="J62" s="80">
        <f t="shared" si="9"/>
        <v>0</v>
      </c>
      <c r="K62" s="13">
        <f t="shared" si="10"/>
        <v>0</v>
      </c>
      <c r="L62" s="13">
        <f t="shared" si="11"/>
        <v>0</v>
      </c>
      <c r="N62" s="13">
        <f t="shared" si="12"/>
        <v>23700</v>
      </c>
      <c r="O62" s="13">
        <f t="shared" si="13"/>
        <v>41909.5</v>
      </c>
      <c r="P62" s="13">
        <f t="shared" si="23"/>
        <v>66834</v>
      </c>
      <c r="Q62" s="4">
        <v>0.0</v>
      </c>
      <c r="R62" s="13">
        <f t="shared" ref="R62:T62" si="94">X61</f>
        <v>23700</v>
      </c>
      <c r="S62" s="13">
        <f t="shared" si="94"/>
        <v>23700</v>
      </c>
      <c r="T62" s="13">
        <f t="shared" si="94"/>
        <v>0</v>
      </c>
      <c r="U62" s="13">
        <f t="shared" si="25"/>
        <v>114234</v>
      </c>
      <c r="V62" s="13">
        <f t="shared" si="15"/>
        <v>68690.5</v>
      </c>
      <c r="W62" s="4">
        <v>0.0</v>
      </c>
      <c r="X62" s="13">
        <f t="shared" ref="X62:Z62" si="95">R62+D62</f>
        <v>23700</v>
      </c>
      <c r="Y62" s="13">
        <f t="shared" si="95"/>
        <v>23700</v>
      </c>
      <c r="Z62" s="13">
        <f t="shared" si="95"/>
        <v>0</v>
      </c>
      <c r="AB62" s="13">
        <f t="shared" si="17"/>
        <v>116090.5</v>
      </c>
    </row>
    <row r="63" hidden="1">
      <c r="A63" s="80">
        <f t="shared" si="27"/>
        <v>2062</v>
      </c>
      <c r="B63" s="13">
        <f t="shared" si="18"/>
        <v>1264</v>
      </c>
      <c r="C63" s="13">
        <f t="shared" si="19"/>
        <v>592.5</v>
      </c>
      <c r="D63" s="80">
        <f t="shared" si="20"/>
        <v>0</v>
      </c>
      <c r="E63" s="13">
        <f t="shared" si="21"/>
        <v>0</v>
      </c>
      <c r="F63" s="13">
        <f t="shared" si="22"/>
        <v>0</v>
      </c>
      <c r="G63" s="13">
        <f t="shared" si="6"/>
        <v>1856.5</v>
      </c>
      <c r="H63" s="13">
        <f t="shared" si="7"/>
        <v>1856.5</v>
      </c>
      <c r="I63" s="13">
        <f t="shared" si="8"/>
        <v>16353</v>
      </c>
      <c r="J63" s="80">
        <f t="shared" si="9"/>
        <v>0</v>
      </c>
      <c r="K63" s="13">
        <f t="shared" si="10"/>
        <v>0</v>
      </c>
      <c r="L63" s="13">
        <f t="shared" si="11"/>
        <v>0</v>
      </c>
      <c r="N63" s="13">
        <f t="shared" si="12"/>
        <v>23700</v>
      </c>
      <c r="O63" s="13">
        <f t="shared" si="13"/>
        <v>40053</v>
      </c>
      <c r="P63" s="13">
        <f t="shared" si="23"/>
        <v>68690.5</v>
      </c>
      <c r="Q63" s="4">
        <v>0.0</v>
      </c>
      <c r="R63" s="13">
        <f t="shared" ref="R63:T63" si="96">X62</f>
        <v>23700</v>
      </c>
      <c r="S63" s="13">
        <f t="shared" si="96"/>
        <v>23700</v>
      </c>
      <c r="T63" s="13">
        <f t="shared" si="96"/>
        <v>0</v>
      </c>
      <c r="U63" s="13">
        <f t="shared" si="25"/>
        <v>116090.5</v>
      </c>
      <c r="V63" s="13">
        <f t="shared" si="15"/>
        <v>70547</v>
      </c>
      <c r="W63" s="4">
        <v>0.0</v>
      </c>
      <c r="X63" s="13">
        <f t="shared" ref="X63:Z63" si="97">R63+D63</f>
        <v>23700</v>
      </c>
      <c r="Y63" s="13">
        <f t="shared" si="97"/>
        <v>23700</v>
      </c>
      <c r="Z63" s="13">
        <f t="shared" si="97"/>
        <v>0</v>
      </c>
      <c r="AB63" s="13">
        <f t="shared" si="17"/>
        <v>117947</v>
      </c>
    </row>
    <row r="64" hidden="1">
      <c r="A64" s="80">
        <f t="shared" si="27"/>
        <v>2063</v>
      </c>
      <c r="B64" s="13">
        <f t="shared" si="18"/>
        <v>1264</v>
      </c>
      <c r="C64" s="13">
        <f t="shared" si="19"/>
        <v>592.5</v>
      </c>
      <c r="D64" s="80">
        <f t="shared" si="20"/>
        <v>0</v>
      </c>
      <c r="E64" s="13">
        <f t="shared" si="21"/>
        <v>0</v>
      </c>
      <c r="F64" s="13">
        <f t="shared" si="22"/>
        <v>0</v>
      </c>
      <c r="G64" s="13">
        <f t="shared" si="6"/>
        <v>1856.5</v>
      </c>
      <c r="H64" s="13">
        <f t="shared" si="7"/>
        <v>1856.5</v>
      </c>
      <c r="I64" s="13">
        <f t="shared" si="8"/>
        <v>14496.5</v>
      </c>
      <c r="J64" s="80">
        <f t="shared" si="9"/>
        <v>0</v>
      </c>
      <c r="K64" s="13">
        <f t="shared" si="10"/>
        <v>0</v>
      </c>
      <c r="L64" s="13">
        <f t="shared" si="11"/>
        <v>0</v>
      </c>
      <c r="N64" s="13">
        <f t="shared" si="12"/>
        <v>23700</v>
      </c>
      <c r="O64" s="13">
        <f t="shared" si="13"/>
        <v>38196.5</v>
      </c>
      <c r="P64" s="13">
        <f t="shared" si="23"/>
        <v>70547</v>
      </c>
      <c r="Q64" s="4">
        <v>0.0</v>
      </c>
      <c r="R64" s="13">
        <f t="shared" ref="R64:T64" si="98">X63</f>
        <v>23700</v>
      </c>
      <c r="S64" s="13">
        <f t="shared" si="98"/>
        <v>23700</v>
      </c>
      <c r="T64" s="13">
        <f t="shared" si="98"/>
        <v>0</v>
      </c>
      <c r="U64" s="13">
        <f t="shared" si="25"/>
        <v>117947</v>
      </c>
      <c r="V64" s="13">
        <f t="shared" si="15"/>
        <v>72403.5</v>
      </c>
      <c r="W64" s="4">
        <v>0.0</v>
      </c>
      <c r="X64" s="13">
        <f t="shared" ref="X64:Z64" si="99">R64+D64</f>
        <v>23700</v>
      </c>
      <c r="Y64" s="13">
        <f t="shared" si="99"/>
        <v>23700</v>
      </c>
      <c r="Z64" s="13">
        <f t="shared" si="99"/>
        <v>0</v>
      </c>
      <c r="AB64" s="13">
        <f t="shared" si="17"/>
        <v>119803.5</v>
      </c>
    </row>
    <row r="65" hidden="1">
      <c r="A65" s="80">
        <f t="shared" si="27"/>
        <v>2064</v>
      </c>
      <c r="B65" s="13">
        <f t="shared" si="18"/>
        <v>1264</v>
      </c>
      <c r="C65" s="13">
        <f t="shared" si="19"/>
        <v>592.5</v>
      </c>
      <c r="D65" s="80">
        <f t="shared" si="20"/>
        <v>0</v>
      </c>
      <c r="E65" s="13">
        <f t="shared" si="21"/>
        <v>0</v>
      </c>
      <c r="F65" s="13">
        <f t="shared" si="22"/>
        <v>0</v>
      </c>
      <c r="G65" s="13">
        <f t="shared" si="6"/>
        <v>1856.5</v>
      </c>
      <c r="H65" s="13">
        <f t="shared" si="7"/>
        <v>1856.5</v>
      </c>
      <c r="I65" s="13">
        <f t="shared" si="8"/>
        <v>12640</v>
      </c>
      <c r="J65" s="80">
        <f t="shared" si="9"/>
        <v>0</v>
      </c>
      <c r="K65" s="13">
        <f t="shared" si="10"/>
        <v>0</v>
      </c>
      <c r="L65" s="13">
        <f t="shared" si="11"/>
        <v>0</v>
      </c>
      <c r="N65" s="13">
        <f t="shared" si="12"/>
        <v>23700</v>
      </c>
      <c r="O65" s="13">
        <f t="shared" si="13"/>
        <v>36340</v>
      </c>
      <c r="P65" s="13">
        <f t="shared" si="23"/>
        <v>72403.5</v>
      </c>
      <c r="Q65" s="4">
        <v>0.0</v>
      </c>
      <c r="R65" s="13">
        <f t="shared" ref="R65:T65" si="100">X64</f>
        <v>23700</v>
      </c>
      <c r="S65" s="13">
        <f t="shared" si="100"/>
        <v>23700</v>
      </c>
      <c r="T65" s="13">
        <f t="shared" si="100"/>
        <v>0</v>
      </c>
      <c r="U65" s="13">
        <f t="shared" si="25"/>
        <v>119803.5</v>
      </c>
      <c r="V65" s="13">
        <f t="shared" si="15"/>
        <v>74260</v>
      </c>
      <c r="W65" s="4">
        <v>0.0</v>
      </c>
      <c r="X65" s="13">
        <f t="shared" ref="X65:Z65" si="101">R65+D65</f>
        <v>23700</v>
      </c>
      <c r="Y65" s="13">
        <f t="shared" si="101"/>
        <v>23700</v>
      </c>
      <c r="Z65" s="13">
        <f t="shared" si="101"/>
        <v>0</v>
      </c>
      <c r="AB65" s="13">
        <f t="shared" si="17"/>
        <v>121660</v>
      </c>
    </row>
    <row r="66" hidden="1">
      <c r="A66" s="80">
        <f t="shared" si="27"/>
        <v>2065</v>
      </c>
      <c r="B66" s="13">
        <f t="shared" si="18"/>
        <v>1264</v>
      </c>
      <c r="C66" s="13">
        <f t="shared" si="19"/>
        <v>0</v>
      </c>
      <c r="D66" s="80">
        <f t="shared" si="20"/>
        <v>0</v>
      </c>
      <c r="E66" s="13">
        <f t="shared" si="21"/>
        <v>0</v>
      </c>
      <c r="F66" s="13">
        <f t="shared" si="22"/>
        <v>0</v>
      </c>
      <c r="G66" s="13">
        <f t="shared" si="6"/>
        <v>1264</v>
      </c>
      <c r="H66" s="13">
        <f t="shared" si="7"/>
        <v>1264</v>
      </c>
      <c r="I66" s="13">
        <f t="shared" si="8"/>
        <v>11376</v>
      </c>
      <c r="J66" s="80">
        <f t="shared" si="9"/>
        <v>0</v>
      </c>
      <c r="K66" s="13">
        <f t="shared" si="10"/>
        <v>0</v>
      </c>
      <c r="L66" s="13">
        <f t="shared" si="11"/>
        <v>0</v>
      </c>
      <c r="N66" s="13">
        <f t="shared" si="12"/>
        <v>23700</v>
      </c>
      <c r="O66" s="13">
        <f t="shared" si="13"/>
        <v>35076</v>
      </c>
      <c r="P66" s="13">
        <f t="shared" si="23"/>
        <v>74260</v>
      </c>
      <c r="Q66" s="4">
        <v>0.0</v>
      </c>
      <c r="R66" s="13">
        <f t="shared" ref="R66:T66" si="102">X65</f>
        <v>23700</v>
      </c>
      <c r="S66" s="13">
        <f t="shared" si="102"/>
        <v>23700</v>
      </c>
      <c r="T66" s="13">
        <f t="shared" si="102"/>
        <v>0</v>
      </c>
      <c r="U66" s="13">
        <f t="shared" si="25"/>
        <v>121660</v>
      </c>
      <c r="V66" s="13">
        <f t="shared" si="15"/>
        <v>75524</v>
      </c>
      <c r="W66" s="4">
        <v>0.0</v>
      </c>
      <c r="X66" s="13">
        <f t="shared" ref="X66:Z66" si="103">R66+D66</f>
        <v>23700</v>
      </c>
      <c r="Y66" s="13">
        <f t="shared" si="103"/>
        <v>23700</v>
      </c>
      <c r="Z66" s="13">
        <f t="shared" si="103"/>
        <v>0</v>
      </c>
      <c r="AB66" s="13">
        <f t="shared" si="17"/>
        <v>122924</v>
      </c>
    </row>
    <row r="67" hidden="1">
      <c r="A67" s="80">
        <f t="shared" si="27"/>
        <v>2066</v>
      </c>
      <c r="B67" s="13">
        <f t="shared" si="18"/>
        <v>1264</v>
      </c>
      <c r="C67" s="13">
        <f t="shared" si="19"/>
        <v>0</v>
      </c>
      <c r="D67" s="80">
        <f t="shared" si="20"/>
        <v>0</v>
      </c>
      <c r="E67" s="13">
        <f t="shared" si="21"/>
        <v>0</v>
      </c>
      <c r="F67" s="13">
        <f t="shared" si="22"/>
        <v>0</v>
      </c>
      <c r="G67" s="13">
        <f t="shared" si="6"/>
        <v>1264</v>
      </c>
      <c r="H67" s="13">
        <f t="shared" si="7"/>
        <v>1264</v>
      </c>
      <c r="I67" s="13">
        <f t="shared" si="8"/>
        <v>10112</v>
      </c>
      <c r="J67" s="80">
        <f t="shared" si="9"/>
        <v>0</v>
      </c>
      <c r="K67" s="13">
        <f t="shared" si="10"/>
        <v>0</v>
      </c>
      <c r="L67" s="13">
        <f t="shared" si="11"/>
        <v>0</v>
      </c>
      <c r="N67" s="13">
        <f t="shared" si="12"/>
        <v>23700</v>
      </c>
      <c r="O67" s="13">
        <f t="shared" si="13"/>
        <v>33812</v>
      </c>
      <c r="P67" s="13">
        <f t="shared" si="23"/>
        <v>75524</v>
      </c>
      <c r="Q67" s="4">
        <v>0.0</v>
      </c>
      <c r="R67" s="13">
        <f t="shared" ref="R67:T67" si="104">X66</f>
        <v>23700</v>
      </c>
      <c r="S67" s="13">
        <f t="shared" si="104"/>
        <v>23700</v>
      </c>
      <c r="T67" s="13">
        <f t="shared" si="104"/>
        <v>0</v>
      </c>
      <c r="U67" s="13">
        <f t="shared" si="25"/>
        <v>122924</v>
      </c>
      <c r="V67" s="13">
        <f t="shared" si="15"/>
        <v>76788</v>
      </c>
      <c r="W67" s="4">
        <v>0.0</v>
      </c>
      <c r="X67" s="13">
        <f t="shared" ref="X67:Z67" si="105">R67+D67</f>
        <v>23700</v>
      </c>
      <c r="Y67" s="13">
        <f t="shared" si="105"/>
        <v>23700</v>
      </c>
      <c r="Z67" s="13">
        <f t="shared" si="105"/>
        <v>0</v>
      </c>
      <c r="AB67" s="13">
        <f t="shared" si="17"/>
        <v>124188</v>
      </c>
    </row>
    <row r="68" hidden="1">
      <c r="A68" s="80">
        <f t="shared" si="27"/>
        <v>2067</v>
      </c>
      <c r="B68" s="13">
        <f t="shared" si="18"/>
        <v>1264</v>
      </c>
      <c r="C68" s="13">
        <f t="shared" si="19"/>
        <v>0</v>
      </c>
      <c r="D68" s="80">
        <f t="shared" si="20"/>
        <v>0</v>
      </c>
      <c r="E68" s="13">
        <f t="shared" si="21"/>
        <v>0</v>
      </c>
      <c r="F68" s="13">
        <f t="shared" si="22"/>
        <v>0</v>
      </c>
      <c r="G68" s="13">
        <f t="shared" si="6"/>
        <v>1264</v>
      </c>
      <c r="H68" s="13">
        <f t="shared" si="7"/>
        <v>1264</v>
      </c>
      <c r="I68" s="13">
        <f t="shared" si="8"/>
        <v>8848</v>
      </c>
      <c r="J68" s="80">
        <f t="shared" si="9"/>
        <v>0</v>
      </c>
      <c r="K68" s="13">
        <f t="shared" si="10"/>
        <v>0</v>
      </c>
      <c r="L68" s="13">
        <f t="shared" si="11"/>
        <v>0</v>
      </c>
      <c r="N68" s="13">
        <f t="shared" si="12"/>
        <v>23700</v>
      </c>
      <c r="O68" s="13">
        <f t="shared" si="13"/>
        <v>32548</v>
      </c>
      <c r="P68" s="13">
        <f t="shared" si="23"/>
        <v>76788</v>
      </c>
      <c r="Q68" s="4">
        <v>0.0</v>
      </c>
      <c r="R68" s="13">
        <f t="shared" ref="R68:T68" si="106">X67</f>
        <v>23700</v>
      </c>
      <c r="S68" s="13">
        <f t="shared" si="106"/>
        <v>23700</v>
      </c>
      <c r="T68" s="13">
        <f t="shared" si="106"/>
        <v>0</v>
      </c>
      <c r="U68" s="13">
        <f t="shared" si="25"/>
        <v>124188</v>
      </c>
      <c r="V68" s="13">
        <f t="shared" si="15"/>
        <v>78052</v>
      </c>
      <c r="W68" s="4">
        <v>0.0</v>
      </c>
      <c r="X68" s="13">
        <f t="shared" ref="X68:Z68" si="107">R68+D68</f>
        <v>23700</v>
      </c>
      <c r="Y68" s="13">
        <f t="shared" si="107"/>
        <v>23700</v>
      </c>
      <c r="Z68" s="13">
        <f t="shared" si="107"/>
        <v>0</v>
      </c>
      <c r="AB68" s="13">
        <f t="shared" si="17"/>
        <v>125452</v>
      </c>
    </row>
    <row r="69" hidden="1">
      <c r="A69" s="80">
        <f t="shared" si="27"/>
        <v>2068</v>
      </c>
      <c r="B69" s="13">
        <f t="shared" si="18"/>
        <v>1264</v>
      </c>
      <c r="C69" s="13">
        <f t="shared" si="19"/>
        <v>0</v>
      </c>
      <c r="D69" s="80">
        <f t="shared" si="20"/>
        <v>0</v>
      </c>
      <c r="E69" s="13">
        <f t="shared" si="21"/>
        <v>0</v>
      </c>
      <c r="F69" s="13">
        <f t="shared" si="22"/>
        <v>0</v>
      </c>
      <c r="G69" s="13">
        <f t="shared" si="6"/>
        <v>1264</v>
      </c>
      <c r="H69" s="13">
        <f t="shared" si="7"/>
        <v>1264</v>
      </c>
      <c r="I69" s="13">
        <f t="shared" si="8"/>
        <v>7584</v>
      </c>
      <c r="J69" s="80">
        <f t="shared" si="9"/>
        <v>0</v>
      </c>
      <c r="K69" s="13">
        <f t="shared" si="10"/>
        <v>0</v>
      </c>
      <c r="L69" s="13">
        <f t="shared" si="11"/>
        <v>0</v>
      </c>
      <c r="N69" s="13">
        <f t="shared" si="12"/>
        <v>23700</v>
      </c>
      <c r="O69" s="13">
        <f t="shared" si="13"/>
        <v>31284</v>
      </c>
      <c r="P69" s="13">
        <f t="shared" si="23"/>
        <v>78052</v>
      </c>
      <c r="Q69" s="4">
        <v>0.0</v>
      </c>
      <c r="R69" s="13">
        <f t="shared" ref="R69:T69" si="108">X68</f>
        <v>23700</v>
      </c>
      <c r="S69" s="13">
        <f t="shared" si="108"/>
        <v>23700</v>
      </c>
      <c r="T69" s="13">
        <f t="shared" si="108"/>
        <v>0</v>
      </c>
      <c r="U69" s="13">
        <f t="shared" si="25"/>
        <v>125452</v>
      </c>
      <c r="V69" s="13">
        <f t="shared" si="15"/>
        <v>79316</v>
      </c>
      <c r="W69" s="4">
        <v>0.0</v>
      </c>
      <c r="X69" s="13">
        <f t="shared" ref="X69:Z69" si="109">R69+D69</f>
        <v>23700</v>
      </c>
      <c r="Y69" s="13">
        <f t="shared" si="109"/>
        <v>23700</v>
      </c>
      <c r="Z69" s="13">
        <f t="shared" si="109"/>
        <v>0</v>
      </c>
      <c r="AB69" s="13">
        <f t="shared" si="17"/>
        <v>126716</v>
      </c>
    </row>
    <row r="70" hidden="1">
      <c r="A70" s="80">
        <f t="shared" si="27"/>
        <v>2069</v>
      </c>
      <c r="B70" s="13">
        <f t="shared" si="18"/>
        <v>1264</v>
      </c>
      <c r="C70" s="13">
        <f t="shared" si="19"/>
        <v>0</v>
      </c>
      <c r="D70" s="80">
        <f t="shared" si="20"/>
        <v>0</v>
      </c>
      <c r="E70" s="13">
        <f t="shared" si="21"/>
        <v>0</v>
      </c>
      <c r="F70" s="13">
        <f t="shared" si="22"/>
        <v>0</v>
      </c>
      <c r="G70" s="13">
        <f t="shared" si="6"/>
        <v>1264</v>
      </c>
      <c r="H70" s="13">
        <f t="shared" si="7"/>
        <v>1264</v>
      </c>
      <c r="I70" s="13">
        <f t="shared" si="8"/>
        <v>6320</v>
      </c>
      <c r="J70" s="80">
        <f t="shared" si="9"/>
        <v>0</v>
      </c>
      <c r="K70" s="13">
        <f t="shared" si="10"/>
        <v>0</v>
      </c>
      <c r="L70" s="13">
        <f t="shared" si="11"/>
        <v>0</v>
      </c>
      <c r="N70" s="13">
        <f t="shared" si="12"/>
        <v>23700</v>
      </c>
      <c r="O70" s="13">
        <f t="shared" si="13"/>
        <v>30020</v>
      </c>
      <c r="P70" s="13">
        <f t="shared" si="23"/>
        <v>79316</v>
      </c>
      <c r="Q70" s="4">
        <v>0.0</v>
      </c>
      <c r="R70" s="13">
        <f t="shared" ref="R70:T70" si="110">X69</f>
        <v>23700</v>
      </c>
      <c r="S70" s="13">
        <f t="shared" si="110"/>
        <v>23700</v>
      </c>
      <c r="T70" s="13">
        <f t="shared" si="110"/>
        <v>0</v>
      </c>
      <c r="U70" s="13">
        <f t="shared" si="25"/>
        <v>126716</v>
      </c>
      <c r="V70" s="13">
        <f t="shared" si="15"/>
        <v>80580</v>
      </c>
      <c r="W70" s="4">
        <v>0.0</v>
      </c>
      <c r="X70" s="13">
        <f t="shared" ref="X70:Z70" si="111">R70+D70</f>
        <v>23700</v>
      </c>
      <c r="Y70" s="13">
        <f t="shared" si="111"/>
        <v>23700</v>
      </c>
      <c r="Z70" s="13">
        <f t="shared" si="111"/>
        <v>0</v>
      </c>
      <c r="AB70" s="13">
        <f t="shared" si="17"/>
        <v>127980</v>
      </c>
    </row>
    <row r="71" hidden="1">
      <c r="A71" s="80">
        <f t="shared" si="27"/>
        <v>2070</v>
      </c>
      <c r="B71" s="13">
        <f t="shared" si="18"/>
        <v>1264</v>
      </c>
      <c r="C71" s="13">
        <f t="shared" si="19"/>
        <v>0</v>
      </c>
      <c r="D71" s="80">
        <f t="shared" si="20"/>
        <v>0</v>
      </c>
      <c r="E71" s="13">
        <f t="shared" si="21"/>
        <v>0</v>
      </c>
      <c r="F71" s="13">
        <f t="shared" si="22"/>
        <v>0</v>
      </c>
      <c r="G71" s="13">
        <f t="shared" si="6"/>
        <v>1264</v>
      </c>
      <c r="H71" s="13">
        <f t="shared" si="7"/>
        <v>1264</v>
      </c>
      <c r="I71" s="13">
        <f t="shared" si="8"/>
        <v>5056</v>
      </c>
      <c r="J71" s="80">
        <f t="shared" si="9"/>
        <v>0</v>
      </c>
      <c r="K71" s="13">
        <f t="shared" si="10"/>
        <v>0</v>
      </c>
      <c r="L71" s="13">
        <f t="shared" si="11"/>
        <v>0</v>
      </c>
      <c r="N71" s="13">
        <f t="shared" si="12"/>
        <v>23700</v>
      </c>
      <c r="O71" s="13">
        <f t="shared" si="13"/>
        <v>28756</v>
      </c>
      <c r="P71" s="13">
        <f t="shared" si="23"/>
        <v>80580</v>
      </c>
      <c r="Q71" s="4">
        <v>0.0</v>
      </c>
      <c r="R71" s="13">
        <f t="shared" ref="R71:T71" si="112">X70</f>
        <v>23700</v>
      </c>
      <c r="S71" s="13">
        <f t="shared" si="112"/>
        <v>23700</v>
      </c>
      <c r="T71" s="13">
        <f t="shared" si="112"/>
        <v>0</v>
      </c>
      <c r="U71" s="13">
        <f t="shared" si="25"/>
        <v>127980</v>
      </c>
      <c r="V71" s="13">
        <f t="shared" si="15"/>
        <v>81844</v>
      </c>
      <c r="W71" s="4">
        <v>0.0</v>
      </c>
      <c r="X71" s="13">
        <f t="shared" ref="X71:Z71" si="113">R71+D71</f>
        <v>23700</v>
      </c>
      <c r="Y71" s="13">
        <f t="shared" si="113"/>
        <v>23700</v>
      </c>
      <c r="Z71" s="13">
        <f t="shared" si="113"/>
        <v>0</v>
      </c>
      <c r="AB71" s="13">
        <f t="shared" si="17"/>
        <v>129244</v>
      </c>
    </row>
    <row r="72" hidden="1">
      <c r="A72" s="80">
        <f t="shared" si="27"/>
        <v>2071</v>
      </c>
      <c r="B72" s="13">
        <f t="shared" si="18"/>
        <v>1264</v>
      </c>
      <c r="C72" s="13">
        <f t="shared" si="19"/>
        <v>0</v>
      </c>
      <c r="D72" s="80">
        <f t="shared" si="20"/>
        <v>0</v>
      </c>
      <c r="E72" s="13">
        <f t="shared" si="21"/>
        <v>0</v>
      </c>
      <c r="F72" s="13">
        <f t="shared" si="22"/>
        <v>0</v>
      </c>
      <c r="G72" s="13">
        <f t="shared" si="6"/>
        <v>1264</v>
      </c>
      <c r="H72" s="13">
        <f t="shared" si="7"/>
        <v>1264</v>
      </c>
      <c r="I72" s="13">
        <f t="shared" si="8"/>
        <v>3792</v>
      </c>
      <c r="J72" s="80">
        <f t="shared" si="9"/>
        <v>0</v>
      </c>
      <c r="K72" s="13">
        <f t="shared" si="10"/>
        <v>0</v>
      </c>
      <c r="L72" s="13">
        <f t="shared" si="11"/>
        <v>0</v>
      </c>
      <c r="N72" s="13">
        <f t="shared" si="12"/>
        <v>23700</v>
      </c>
      <c r="O72" s="13">
        <f t="shared" si="13"/>
        <v>27492</v>
      </c>
      <c r="P72" s="13">
        <f t="shared" si="23"/>
        <v>81844</v>
      </c>
      <c r="Q72" s="4">
        <v>0.0</v>
      </c>
      <c r="R72" s="13">
        <f t="shared" ref="R72:T72" si="114">X71</f>
        <v>23700</v>
      </c>
      <c r="S72" s="13">
        <f t="shared" si="114"/>
        <v>23700</v>
      </c>
      <c r="T72" s="13">
        <f t="shared" si="114"/>
        <v>0</v>
      </c>
      <c r="U72" s="13">
        <f t="shared" si="25"/>
        <v>129244</v>
      </c>
      <c r="V72" s="13">
        <f t="shared" si="15"/>
        <v>83108</v>
      </c>
      <c r="W72" s="4">
        <v>0.0</v>
      </c>
      <c r="X72" s="13">
        <f t="shared" ref="X72:Z72" si="115">R72+D72</f>
        <v>23700</v>
      </c>
      <c r="Y72" s="13">
        <f t="shared" si="115"/>
        <v>23700</v>
      </c>
      <c r="Z72" s="13">
        <f t="shared" si="115"/>
        <v>0</v>
      </c>
      <c r="AB72" s="13">
        <f t="shared" si="17"/>
        <v>130508</v>
      </c>
    </row>
    <row r="73" hidden="1">
      <c r="A73" s="80">
        <f t="shared" si="27"/>
        <v>2072</v>
      </c>
      <c r="B73" s="13">
        <f t="shared" si="18"/>
        <v>1264</v>
      </c>
      <c r="C73" s="13">
        <f t="shared" si="19"/>
        <v>0</v>
      </c>
      <c r="D73" s="80">
        <f t="shared" si="20"/>
        <v>0</v>
      </c>
      <c r="E73" s="13">
        <f t="shared" si="21"/>
        <v>0</v>
      </c>
      <c r="F73" s="13">
        <f t="shared" si="22"/>
        <v>0</v>
      </c>
      <c r="G73" s="13">
        <f t="shared" si="6"/>
        <v>1264</v>
      </c>
      <c r="H73" s="13">
        <f t="shared" si="7"/>
        <v>1264</v>
      </c>
      <c r="I73" s="13">
        <f t="shared" si="8"/>
        <v>2528</v>
      </c>
      <c r="J73" s="80">
        <f t="shared" si="9"/>
        <v>0</v>
      </c>
      <c r="K73" s="13">
        <f t="shared" si="10"/>
        <v>0</v>
      </c>
      <c r="L73" s="13">
        <f t="shared" si="11"/>
        <v>0</v>
      </c>
      <c r="N73" s="13">
        <f t="shared" si="12"/>
        <v>23700</v>
      </c>
      <c r="O73" s="13">
        <f t="shared" si="13"/>
        <v>26228</v>
      </c>
      <c r="P73" s="13">
        <f t="shared" si="23"/>
        <v>83108</v>
      </c>
      <c r="Q73" s="4">
        <v>0.0</v>
      </c>
      <c r="R73" s="13">
        <f t="shared" ref="R73:T73" si="116">X72</f>
        <v>23700</v>
      </c>
      <c r="S73" s="13">
        <f t="shared" si="116"/>
        <v>23700</v>
      </c>
      <c r="T73" s="13">
        <f t="shared" si="116"/>
        <v>0</v>
      </c>
      <c r="U73" s="13">
        <f t="shared" si="25"/>
        <v>130508</v>
      </c>
      <c r="V73" s="13">
        <f t="shared" si="15"/>
        <v>84372</v>
      </c>
      <c r="W73" s="4">
        <v>0.0</v>
      </c>
      <c r="X73" s="13">
        <f t="shared" ref="X73:Z73" si="117">R73+D73</f>
        <v>23700</v>
      </c>
      <c r="Y73" s="13">
        <f t="shared" si="117"/>
        <v>23700</v>
      </c>
      <c r="Z73" s="13">
        <f t="shared" si="117"/>
        <v>0</v>
      </c>
      <c r="AB73" s="13">
        <f t="shared" si="17"/>
        <v>131772</v>
      </c>
    </row>
    <row r="74" hidden="1">
      <c r="A74" s="80">
        <f t="shared" si="27"/>
        <v>2073</v>
      </c>
      <c r="B74" s="13">
        <f t="shared" si="18"/>
        <v>1264</v>
      </c>
      <c r="C74" s="13">
        <f t="shared" si="19"/>
        <v>0</v>
      </c>
      <c r="D74" s="80">
        <f t="shared" si="20"/>
        <v>0</v>
      </c>
      <c r="E74" s="13">
        <f t="shared" si="21"/>
        <v>0</v>
      </c>
      <c r="F74" s="13">
        <f t="shared" si="22"/>
        <v>0</v>
      </c>
      <c r="G74" s="13">
        <f t="shared" si="6"/>
        <v>1264</v>
      </c>
      <c r="H74" s="13">
        <f t="shared" si="7"/>
        <v>1264</v>
      </c>
      <c r="I74" s="13">
        <f t="shared" si="8"/>
        <v>1264</v>
      </c>
      <c r="J74" s="80">
        <f t="shared" si="9"/>
        <v>0</v>
      </c>
      <c r="K74" s="13">
        <f t="shared" si="10"/>
        <v>0</v>
      </c>
      <c r="L74" s="13">
        <f t="shared" si="11"/>
        <v>0</v>
      </c>
      <c r="N74" s="13">
        <f t="shared" si="12"/>
        <v>23700</v>
      </c>
      <c r="O74" s="13">
        <f t="shared" si="13"/>
        <v>24964</v>
      </c>
      <c r="P74" s="13">
        <f t="shared" si="23"/>
        <v>84372</v>
      </c>
      <c r="Q74" s="4">
        <v>0.0</v>
      </c>
      <c r="R74" s="13">
        <f t="shared" ref="R74:T74" si="118">X73</f>
        <v>23700</v>
      </c>
      <c r="S74" s="13">
        <f t="shared" si="118"/>
        <v>23700</v>
      </c>
      <c r="T74" s="13">
        <f t="shared" si="118"/>
        <v>0</v>
      </c>
      <c r="U74" s="13">
        <f t="shared" si="25"/>
        <v>131772</v>
      </c>
      <c r="V74" s="13">
        <f t="shared" si="15"/>
        <v>85636</v>
      </c>
      <c r="W74" s="4">
        <v>0.0</v>
      </c>
      <c r="X74" s="13">
        <f t="shared" ref="X74:Z74" si="119">R74+D74</f>
        <v>23700</v>
      </c>
      <c r="Y74" s="13">
        <f t="shared" si="119"/>
        <v>23700</v>
      </c>
      <c r="Z74" s="13">
        <f t="shared" si="119"/>
        <v>0</v>
      </c>
      <c r="AB74" s="13">
        <f t="shared" si="17"/>
        <v>133036</v>
      </c>
    </row>
    <row r="75" hidden="1">
      <c r="A75" s="80">
        <f t="shared" si="27"/>
        <v>2074</v>
      </c>
      <c r="B75" s="13">
        <f t="shared" si="18"/>
        <v>1264</v>
      </c>
      <c r="C75" s="13">
        <f t="shared" si="19"/>
        <v>0</v>
      </c>
      <c r="D75" s="80">
        <f t="shared" si="20"/>
        <v>0</v>
      </c>
      <c r="E75" s="13">
        <f t="shared" si="21"/>
        <v>0</v>
      </c>
      <c r="F75" s="13">
        <f t="shared" si="22"/>
        <v>0</v>
      </c>
      <c r="G75" s="13">
        <f t="shared" si="6"/>
        <v>1264</v>
      </c>
      <c r="H75" s="13">
        <f t="shared" si="7"/>
        <v>1264</v>
      </c>
      <c r="I75" s="13">
        <f t="shared" si="8"/>
        <v>0</v>
      </c>
      <c r="J75" s="80">
        <f t="shared" si="9"/>
        <v>0</v>
      </c>
      <c r="K75" s="13">
        <f t="shared" si="10"/>
        <v>0</v>
      </c>
      <c r="L75" s="13">
        <f t="shared" si="11"/>
        <v>0</v>
      </c>
      <c r="N75" s="13">
        <f t="shared" si="12"/>
        <v>23700</v>
      </c>
      <c r="O75" s="13">
        <f t="shared" si="13"/>
        <v>23700</v>
      </c>
      <c r="P75" s="13">
        <f t="shared" si="23"/>
        <v>85636</v>
      </c>
      <c r="Q75" s="4">
        <v>0.0</v>
      </c>
      <c r="R75" s="13">
        <f t="shared" ref="R75:T75" si="120">X74</f>
        <v>23700</v>
      </c>
      <c r="S75" s="13">
        <f t="shared" si="120"/>
        <v>23700</v>
      </c>
      <c r="T75" s="13">
        <f t="shared" si="120"/>
        <v>0</v>
      </c>
      <c r="U75" s="13">
        <f t="shared" si="25"/>
        <v>133036</v>
      </c>
      <c r="V75" s="13">
        <f t="shared" si="15"/>
        <v>86900</v>
      </c>
      <c r="W75" s="4">
        <v>0.0</v>
      </c>
      <c r="X75" s="13">
        <f t="shared" ref="X75:Z75" si="121">R75+D75</f>
        <v>23700</v>
      </c>
      <c r="Y75" s="13">
        <f t="shared" si="121"/>
        <v>23700</v>
      </c>
      <c r="Z75" s="13">
        <f t="shared" si="121"/>
        <v>0</v>
      </c>
      <c r="AB75" s="13">
        <f t="shared" si="17"/>
        <v>134300</v>
      </c>
    </row>
    <row r="76" hidden="1">
      <c r="A76" s="80">
        <f t="shared" si="27"/>
        <v>2075</v>
      </c>
      <c r="B76" s="13">
        <f t="shared" si="18"/>
        <v>0</v>
      </c>
      <c r="C76" s="13">
        <f t="shared" si="19"/>
        <v>0</v>
      </c>
      <c r="D76" s="80">
        <f t="shared" si="20"/>
        <v>0</v>
      </c>
      <c r="E76" s="13">
        <f t="shared" si="21"/>
        <v>0</v>
      </c>
      <c r="F76" s="13">
        <f t="shared" si="22"/>
        <v>0</v>
      </c>
      <c r="G76" s="13">
        <f t="shared" si="6"/>
        <v>0</v>
      </c>
      <c r="H76" s="13">
        <f t="shared" si="7"/>
        <v>0</v>
      </c>
      <c r="I76" s="13">
        <f t="shared" si="8"/>
        <v>0</v>
      </c>
      <c r="J76" s="80">
        <f t="shared" si="9"/>
        <v>0</v>
      </c>
      <c r="K76" s="13">
        <f t="shared" si="10"/>
        <v>0</v>
      </c>
      <c r="L76" s="13">
        <f t="shared" si="11"/>
        <v>0</v>
      </c>
      <c r="N76" s="13">
        <f t="shared" si="12"/>
        <v>23700</v>
      </c>
      <c r="O76" s="13">
        <f t="shared" si="13"/>
        <v>23700</v>
      </c>
      <c r="P76" s="13">
        <f t="shared" si="23"/>
        <v>86900</v>
      </c>
      <c r="Q76" s="4">
        <v>0.0</v>
      </c>
      <c r="R76" s="13">
        <f t="shared" ref="R76:T76" si="122">X75</f>
        <v>23700</v>
      </c>
      <c r="S76" s="13">
        <f t="shared" si="122"/>
        <v>23700</v>
      </c>
      <c r="T76" s="13">
        <f t="shared" si="122"/>
        <v>0</v>
      </c>
      <c r="U76" s="13">
        <f t="shared" si="25"/>
        <v>134300</v>
      </c>
      <c r="V76" s="13">
        <f t="shared" si="15"/>
        <v>86900</v>
      </c>
      <c r="W76" s="4">
        <v>0.0</v>
      </c>
      <c r="X76" s="13">
        <f t="shared" ref="X76:Z76" si="123">R76+D76</f>
        <v>23700</v>
      </c>
      <c r="Y76" s="13">
        <f t="shared" si="123"/>
        <v>23700</v>
      </c>
      <c r="Z76" s="13">
        <f t="shared" si="123"/>
        <v>0</v>
      </c>
      <c r="AB76" s="13">
        <f t="shared" si="17"/>
        <v>134300</v>
      </c>
    </row>
    <row r="77" hidden="1">
      <c r="A77" s="80"/>
      <c r="D77" s="80"/>
    </row>
    <row r="78" hidden="1">
      <c r="A78" s="80"/>
      <c r="D78" s="80"/>
    </row>
    <row r="79" hidden="1">
      <c r="A79" s="80"/>
      <c r="D79" s="80"/>
    </row>
    <row r="80">
      <c r="A80" s="81" t="s">
        <v>275</v>
      </c>
      <c r="D80" s="80"/>
    </row>
    <row r="81">
      <c r="A81" s="80"/>
      <c r="D81" s="80"/>
    </row>
    <row r="82">
      <c r="A82" s="14" t="s">
        <v>4</v>
      </c>
      <c r="B82" s="9">
        <f>F13</f>
        <v>2025</v>
      </c>
      <c r="D82" s="14" t="s">
        <v>4</v>
      </c>
      <c r="E82" s="9">
        <f>F13+1</f>
        <v>2026</v>
      </c>
    </row>
    <row r="83">
      <c r="A83" s="14" t="s">
        <v>5</v>
      </c>
      <c r="B83" s="9">
        <f t="array" ref="B83">INDIRECT(ADDRESS(H13,7))</f>
        <v>4384.5</v>
      </c>
      <c r="D83" s="14" t="s">
        <v>5</v>
      </c>
      <c r="E83" s="9">
        <f t="array" ref="E83">INDIRECT(ADDRESS(H13+1,7))</f>
        <v>4384.5</v>
      </c>
    </row>
    <row r="84">
      <c r="A84" s="14" t="s">
        <v>6</v>
      </c>
      <c r="B84" s="10">
        <v>8000.0</v>
      </c>
      <c r="D84" s="14" t="s">
        <v>6</v>
      </c>
      <c r="E84" s="11">
        <f>8000</f>
        <v>8000</v>
      </c>
    </row>
    <row r="85">
      <c r="A85" s="14" t="s">
        <v>7</v>
      </c>
      <c r="B85" s="10">
        <f>1200+9000</f>
        <v>10200</v>
      </c>
      <c r="D85" s="14" t="s">
        <v>7</v>
      </c>
      <c r="E85" s="11">
        <f>1200</f>
        <v>1200</v>
      </c>
    </row>
    <row r="86">
      <c r="A86" s="14" t="s">
        <v>8</v>
      </c>
      <c r="B86" s="10">
        <v>2000.0</v>
      </c>
      <c r="D86" s="14" t="s">
        <v>8</v>
      </c>
      <c r="E86" s="10">
        <v>2000.0</v>
      </c>
      <c r="F86" s="4"/>
    </row>
    <row r="87">
      <c r="A87" s="14" t="s">
        <v>9</v>
      </c>
      <c r="B87" s="11">
        <f>3000</f>
        <v>3000</v>
      </c>
      <c r="D87" s="14" t="s">
        <v>9</v>
      </c>
      <c r="E87" s="10">
        <v>3000.0</v>
      </c>
    </row>
    <row r="88">
      <c r="A88" s="14" t="s">
        <v>276</v>
      </c>
      <c r="B88" s="9">
        <f>B84-B85-B86-B87</f>
        <v>-7200</v>
      </c>
      <c r="D88" s="14" t="s">
        <v>277</v>
      </c>
      <c r="E88" s="9">
        <f>E84-E85-E86-E87</f>
        <v>1800</v>
      </c>
    </row>
    <row r="89">
      <c r="A89" s="14" t="s">
        <v>12</v>
      </c>
      <c r="B89" s="9">
        <f>IF(B88&lt;0,-B88,0)</f>
        <v>7200</v>
      </c>
      <c r="D89" s="14" t="s">
        <v>12</v>
      </c>
      <c r="E89" s="9">
        <f>IF(E88&lt;0,-E88,0)</f>
        <v>0</v>
      </c>
    </row>
    <row r="90">
      <c r="A90" s="14" t="s">
        <v>278</v>
      </c>
      <c r="B90" s="12">
        <f>B88-B83</f>
        <v>-11584.5</v>
      </c>
      <c r="D90" s="14" t="s">
        <v>279</v>
      </c>
      <c r="E90" s="12">
        <f>E88-E83</f>
        <v>-2584.5</v>
      </c>
    </row>
    <row r="91">
      <c r="A91" s="14" t="s">
        <v>15</v>
      </c>
      <c r="B91" s="9">
        <f>MIN(B83 , MAX(0 , B83 - B88))</f>
        <v>4384.5</v>
      </c>
      <c r="C91" s="13">
        <f>max(0-B90-B89)</f>
        <v>4384.5</v>
      </c>
      <c r="D91" s="14" t="s">
        <v>16</v>
      </c>
      <c r="E91" s="9">
        <f>MIN(E83 , MAX(0 , E83 - E88))</f>
        <v>2584.5</v>
      </c>
    </row>
    <row r="92">
      <c r="A92" s="14" t="s">
        <v>17</v>
      </c>
      <c r="B92" s="8">
        <f>B91+B90</f>
        <v>-7200</v>
      </c>
      <c r="D92" s="14" t="s">
        <v>17</v>
      </c>
      <c r="E92" s="8">
        <f>E91+E90</f>
        <v>0</v>
      </c>
    </row>
    <row r="93">
      <c r="A93" s="14" t="s">
        <v>280</v>
      </c>
      <c r="B93" s="10">
        <v>0.0</v>
      </c>
      <c r="D93" s="14" t="s">
        <v>281</v>
      </c>
      <c r="E93" s="10">
        <f>B96</f>
        <v>4384.5</v>
      </c>
      <c r="F93" s="4"/>
    </row>
    <row r="94">
      <c r="A94" s="14" t="s">
        <v>282</v>
      </c>
      <c r="B94" s="9">
        <f>IF(B90&lt;=0,0,MIN(B90,B93))</f>
        <v>0</v>
      </c>
      <c r="D94" s="14" t="s">
        <v>283</v>
      </c>
      <c r="E94" s="9">
        <f>IF(E90&lt;=0,0,MIN(E90,E93))</f>
        <v>0</v>
      </c>
    </row>
    <row r="95">
      <c r="A95" s="14" t="s">
        <v>284</v>
      </c>
      <c r="B95" s="9">
        <f>B93-B94</f>
        <v>0</v>
      </c>
      <c r="D95" s="14" t="s">
        <v>285</v>
      </c>
      <c r="E95" s="9">
        <f>E93-E94</f>
        <v>4384.5</v>
      </c>
    </row>
    <row r="96">
      <c r="A96" s="14" t="s">
        <v>286</v>
      </c>
      <c r="B96" s="9">
        <f>B95+B91</f>
        <v>4384.5</v>
      </c>
      <c r="D96" s="14" t="s">
        <v>287</v>
      </c>
      <c r="E96" s="9">
        <f>E95+E91</f>
        <v>6969</v>
      </c>
    </row>
    <row r="97">
      <c r="A97" s="14" t="s">
        <v>26</v>
      </c>
      <c r="B97" s="9">
        <f>B92-B94</f>
        <v>-7200</v>
      </c>
      <c r="D97" s="14" t="s">
        <v>26</v>
      </c>
      <c r="E97" s="9">
        <f>E92-E94</f>
        <v>0</v>
      </c>
    </row>
    <row r="98">
      <c r="A98" s="14" t="s">
        <v>288</v>
      </c>
      <c r="B98" s="10">
        <v>0.0</v>
      </c>
      <c r="D98" s="14" t="s">
        <v>289</v>
      </c>
      <c r="E98" s="10">
        <f>B101</f>
        <v>7200</v>
      </c>
      <c r="F98" s="4"/>
    </row>
    <row r="99">
      <c r="A99" s="14" t="s">
        <v>290</v>
      </c>
      <c r="B99" s="9">
        <f>IF(B97&lt;=0,0,MIN(B97,B98))</f>
        <v>0</v>
      </c>
      <c r="D99" s="14" t="s">
        <v>291</v>
      </c>
      <c r="E99" s="9">
        <f>IF(E97&lt;=0,0,MIN(E97,E98))</f>
        <v>0</v>
      </c>
    </row>
    <row r="100">
      <c r="A100" s="14" t="s">
        <v>31</v>
      </c>
      <c r="B100" s="9">
        <f>B98+B99</f>
        <v>0</v>
      </c>
      <c r="D100" s="14" t="s">
        <v>31</v>
      </c>
      <c r="E100" s="9">
        <f>E98+E99</f>
        <v>7200</v>
      </c>
    </row>
    <row r="101">
      <c r="A101" s="14" t="s">
        <v>32</v>
      </c>
      <c r="B101" s="9">
        <f>B100+B89</f>
        <v>7200</v>
      </c>
      <c r="D101" s="14" t="s">
        <v>32</v>
      </c>
      <c r="E101" s="9">
        <f>E100+E89</f>
        <v>7200</v>
      </c>
    </row>
    <row r="102">
      <c r="A102" s="14" t="s">
        <v>33</v>
      </c>
      <c r="B102" s="9">
        <f>MAX(0 , B88 - B83)</f>
        <v>0</v>
      </c>
      <c r="D102" s="14" t="s">
        <v>33</v>
      </c>
      <c r="E102" s="9">
        <f>MAX(0 , E88 - E83)</f>
        <v>0</v>
      </c>
    </row>
    <row r="103">
      <c r="A103" s="14" t="s">
        <v>34</v>
      </c>
      <c r="B103" s="10">
        <v>0.0</v>
      </c>
      <c r="D103" s="14" t="s">
        <v>34</v>
      </c>
      <c r="E103" s="10">
        <f>B104</f>
        <v>0</v>
      </c>
      <c r="F103" s="4"/>
    </row>
    <row r="104">
      <c r="A104" s="14" t="s">
        <v>35</v>
      </c>
      <c r="B104" s="9">
        <f>Max(0,B84-B85-B86-B87)+B103</f>
        <v>0</v>
      </c>
      <c r="D104" s="14" t="s">
        <v>35</v>
      </c>
      <c r="E104" s="9">
        <f>Max(0,E84-E85-E86-E87)+E103</f>
        <v>1800</v>
      </c>
    </row>
    <row r="105">
      <c r="A105" s="87"/>
      <c r="D105" s="80"/>
    </row>
    <row r="106">
      <c r="A106" s="87"/>
      <c r="D106" s="80"/>
    </row>
    <row r="107">
      <c r="A107" s="88" t="s">
        <v>36</v>
      </c>
      <c r="D107" s="80"/>
    </row>
    <row r="108">
      <c r="A108" s="69" t="s">
        <v>4</v>
      </c>
      <c r="B108" s="13">
        <f>F13</f>
        <v>2025</v>
      </c>
      <c r="D108" s="80"/>
      <c r="I108" s="4" t="s">
        <v>4</v>
      </c>
      <c r="J108" s="13">
        <f>F13+1</f>
        <v>2026</v>
      </c>
    </row>
    <row r="109">
      <c r="A109" s="89"/>
      <c r="B109" s="17" t="s">
        <v>37</v>
      </c>
      <c r="C109" s="18" t="s">
        <v>38</v>
      </c>
      <c r="D109" s="19"/>
      <c r="E109" s="90" t="s">
        <v>39</v>
      </c>
      <c r="F109" s="19"/>
      <c r="G109" s="21" t="s">
        <v>40</v>
      </c>
      <c r="H109" s="22"/>
      <c r="I109" s="9"/>
      <c r="J109" s="17" t="s">
        <v>37</v>
      </c>
      <c r="K109" s="18" t="s">
        <v>38</v>
      </c>
      <c r="L109" s="19"/>
      <c r="M109" s="90" t="s">
        <v>39</v>
      </c>
      <c r="N109" s="19"/>
      <c r="O109" s="21" t="s">
        <v>40</v>
      </c>
    </row>
    <row r="110">
      <c r="A110" s="91" t="s">
        <v>41</v>
      </c>
      <c r="B110" s="24" t="s">
        <v>42</v>
      </c>
      <c r="C110" s="24" t="s">
        <v>43</v>
      </c>
      <c r="D110" s="92">
        <f>B4+B5</f>
        <v>158000</v>
      </c>
      <c r="E110" s="24" t="s">
        <v>44</v>
      </c>
      <c r="F110" s="25">
        <f t="array" ref="F110">INDIRECT(ADDRESS(H13,28))</f>
        <v>4384.5</v>
      </c>
      <c r="G110" s="25">
        <f>D110-F110</f>
        <v>153615.5</v>
      </c>
      <c r="H110" s="22"/>
      <c r="I110" s="23" t="s">
        <v>41</v>
      </c>
      <c r="J110" s="24" t="s">
        <v>42</v>
      </c>
      <c r="K110" s="24" t="s">
        <v>43</v>
      </c>
      <c r="L110" s="25">
        <f>D110</f>
        <v>158000</v>
      </c>
      <c r="M110" s="24" t="s">
        <v>44</v>
      </c>
      <c r="N110" s="25">
        <f t="array" ref="N110">INDIRECT(ADDRESS(H13+1,28))</f>
        <v>8769</v>
      </c>
      <c r="O110" s="25">
        <f>L110-N110</f>
        <v>149231</v>
      </c>
    </row>
    <row r="111">
      <c r="A111" s="26"/>
      <c r="B111" s="24" t="s">
        <v>45</v>
      </c>
      <c r="C111" s="24" t="s">
        <v>46</v>
      </c>
      <c r="D111" s="93">
        <v>0.0</v>
      </c>
      <c r="E111" s="24" t="s">
        <v>47</v>
      </c>
      <c r="F111" s="24">
        <v>0.0</v>
      </c>
      <c r="G111" s="24">
        <v>0.0</v>
      </c>
      <c r="H111" s="22"/>
      <c r="I111" s="26"/>
      <c r="J111" s="24" t="s">
        <v>45</v>
      </c>
      <c r="K111" s="24" t="s">
        <v>46</v>
      </c>
      <c r="L111" s="24">
        <v>0.0</v>
      </c>
      <c r="M111" s="24" t="s">
        <v>47</v>
      </c>
      <c r="N111" s="24">
        <v>0.0</v>
      </c>
      <c r="O111" s="24">
        <v>0.0</v>
      </c>
    </row>
    <row r="112">
      <c r="A112" s="27"/>
      <c r="B112" s="28" t="s">
        <v>48</v>
      </c>
      <c r="C112" s="24" t="s">
        <v>49</v>
      </c>
      <c r="D112" s="92">
        <f>D110+D111</f>
        <v>158000</v>
      </c>
      <c r="E112" s="24" t="s">
        <v>50</v>
      </c>
      <c r="F112" s="25">
        <f t="shared" ref="F112:G112" si="124">F110+F111</f>
        <v>4384.5</v>
      </c>
      <c r="G112" s="25">
        <f t="shared" si="124"/>
        <v>153615.5</v>
      </c>
      <c r="H112" s="22"/>
      <c r="I112" s="27"/>
      <c r="J112" s="28" t="s">
        <v>48</v>
      </c>
      <c r="K112" s="24" t="s">
        <v>49</v>
      </c>
      <c r="L112" s="25">
        <f>L110+L111</f>
        <v>158000</v>
      </c>
      <c r="M112" s="24" t="s">
        <v>50</v>
      </c>
      <c r="N112" s="25">
        <f t="shared" ref="N112:O112" si="125">N110+N111</f>
        <v>8769</v>
      </c>
      <c r="O112" s="25">
        <f t="shared" si="125"/>
        <v>149231</v>
      </c>
    </row>
    <row r="113">
      <c r="A113" s="91" t="s">
        <v>51</v>
      </c>
      <c r="B113" s="25"/>
      <c r="C113" s="25"/>
      <c r="D113" s="92"/>
      <c r="E113" s="25"/>
      <c r="F113" s="25"/>
      <c r="G113" s="25"/>
      <c r="H113" s="22"/>
      <c r="I113" s="23" t="s">
        <v>51</v>
      </c>
      <c r="J113" s="25"/>
      <c r="K113" s="25"/>
      <c r="L113" s="25"/>
      <c r="M113" s="25"/>
      <c r="N113" s="25"/>
      <c r="O113" s="25"/>
    </row>
    <row r="114">
      <c r="A114" s="26"/>
      <c r="B114" s="24" t="s">
        <v>35</v>
      </c>
      <c r="C114" s="24" t="s">
        <v>52</v>
      </c>
      <c r="D114" s="92">
        <f>B104</f>
        <v>0</v>
      </c>
      <c r="E114" s="25"/>
      <c r="F114" s="25"/>
      <c r="G114" s="25">
        <f>D114</f>
        <v>0</v>
      </c>
      <c r="H114" s="22"/>
      <c r="I114" s="26"/>
      <c r="J114" s="24" t="s">
        <v>35</v>
      </c>
      <c r="K114" s="24" t="s">
        <v>52</v>
      </c>
      <c r="L114" s="25" t="str">
        <f>J104</f>
        <v/>
      </c>
      <c r="M114" s="25"/>
      <c r="N114" s="25"/>
      <c r="O114" s="25" t="str">
        <f>L114</f>
        <v/>
      </c>
    </row>
    <row r="115">
      <c r="A115" s="27"/>
      <c r="B115" s="25"/>
      <c r="C115" s="25"/>
      <c r="D115" s="92"/>
      <c r="E115" s="25"/>
      <c r="F115" s="25"/>
      <c r="G115" s="25"/>
      <c r="H115" s="22"/>
      <c r="I115" s="27"/>
      <c r="J115" s="25"/>
      <c r="K115" s="25"/>
      <c r="L115" s="25"/>
      <c r="M115" s="25"/>
      <c r="N115" s="25"/>
      <c r="O115" s="25"/>
    </row>
    <row r="116">
      <c r="A116" s="94" t="s">
        <v>48</v>
      </c>
      <c r="B116" s="19"/>
      <c r="C116" s="28" t="s">
        <v>53</v>
      </c>
      <c r="D116" s="95">
        <f>D112+D114</f>
        <v>158000</v>
      </c>
      <c r="E116" s="28" t="s">
        <v>54</v>
      </c>
      <c r="F116" s="30">
        <f>F112</f>
        <v>4384.5</v>
      </c>
      <c r="G116" s="30">
        <f>G112+G114</f>
        <v>153615.5</v>
      </c>
      <c r="H116" s="22"/>
      <c r="I116" s="29" t="s">
        <v>48</v>
      </c>
      <c r="J116" s="19"/>
      <c r="K116" s="28" t="s">
        <v>53</v>
      </c>
      <c r="L116" s="30">
        <f>L112+L114</f>
        <v>158000</v>
      </c>
      <c r="M116" s="28" t="s">
        <v>54</v>
      </c>
      <c r="N116" s="30">
        <f>N112</f>
        <v>8769</v>
      </c>
      <c r="O116" s="30">
        <f>O112+O114</f>
        <v>149231</v>
      </c>
    </row>
    <row r="117">
      <c r="A117" s="89"/>
      <c r="B117" s="17" t="s">
        <v>55</v>
      </c>
      <c r="C117" s="31"/>
      <c r="D117" s="32"/>
      <c r="E117" s="32"/>
      <c r="F117" s="19"/>
      <c r="G117" s="21" t="s">
        <v>40</v>
      </c>
      <c r="H117" s="22"/>
      <c r="I117" s="9"/>
      <c r="J117" s="17" t="s">
        <v>55</v>
      </c>
      <c r="K117" s="31"/>
      <c r="L117" s="32"/>
      <c r="M117" s="32"/>
      <c r="N117" s="19"/>
      <c r="O117" s="21" t="s">
        <v>40</v>
      </c>
    </row>
    <row r="118">
      <c r="A118" s="89"/>
      <c r="B118" s="24" t="s">
        <v>56</v>
      </c>
      <c r="C118" s="24" t="s">
        <v>57</v>
      </c>
      <c r="D118" s="96"/>
      <c r="E118" s="34"/>
      <c r="F118" s="35"/>
      <c r="G118" s="25">
        <f>G116-G120-G122</f>
        <v>77200</v>
      </c>
      <c r="H118" s="22"/>
      <c r="I118" s="9"/>
      <c r="J118" s="24" t="s">
        <v>56</v>
      </c>
      <c r="K118" s="24" t="s">
        <v>57</v>
      </c>
      <c r="L118" s="33"/>
      <c r="M118" s="34"/>
      <c r="N118" s="35"/>
      <c r="O118" s="25">
        <f>O116-O120-O122</f>
        <v>77731</v>
      </c>
    </row>
    <row r="119">
      <c r="A119" s="89"/>
      <c r="B119" s="36"/>
      <c r="C119" s="19"/>
      <c r="D119" s="37"/>
      <c r="F119" s="38"/>
      <c r="G119" s="25"/>
      <c r="H119" s="22"/>
      <c r="I119" s="9"/>
      <c r="J119" s="36"/>
      <c r="K119" s="19"/>
      <c r="L119" s="37"/>
      <c r="N119" s="38"/>
      <c r="O119" s="25"/>
    </row>
    <row r="120">
      <c r="A120" s="89"/>
      <c r="B120" s="24" t="s">
        <v>58</v>
      </c>
      <c r="C120" s="24" t="s">
        <v>59</v>
      </c>
      <c r="D120" s="37"/>
      <c r="F120" s="38"/>
      <c r="G120" s="25">
        <f>B90</f>
        <v>-11584.5</v>
      </c>
      <c r="H120" s="22"/>
      <c r="I120" s="9"/>
      <c r="J120" s="24" t="s">
        <v>58</v>
      </c>
      <c r="K120" s="24" t="s">
        <v>59</v>
      </c>
      <c r="L120" s="37"/>
      <c r="N120" s="38"/>
      <c r="O120" s="25" t="str">
        <f>J90</f>
        <v/>
      </c>
    </row>
    <row r="121">
      <c r="A121" s="89"/>
      <c r="B121" s="36"/>
      <c r="C121" s="19"/>
      <c r="D121" s="37"/>
      <c r="F121" s="38"/>
      <c r="G121" s="25"/>
      <c r="H121" s="22"/>
      <c r="I121" s="9"/>
      <c r="J121" s="36"/>
      <c r="K121" s="19"/>
      <c r="L121" s="37"/>
      <c r="N121" s="38"/>
      <c r="O121" s="25"/>
    </row>
    <row r="122">
      <c r="A122" s="89"/>
      <c r="B122" s="24" t="s">
        <v>60</v>
      </c>
      <c r="C122" s="24" t="s">
        <v>61</v>
      </c>
      <c r="D122" s="37"/>
      <c r="F122" s="38"/>
      <c r="G122" s="39">
        <f>88000</f>
        <v>88000</v>
      </c>
      <c r="H122" s="22"/>
      <c r="I122" s="9"/>
      <c r="J122" s="24" t="s">
        <v>60</v>
      </c>
      <c r="K122" s="24" t="s">
        <v>61</v>
      </c>
      <c r="L122" s="37"/>
      <c r="N122" s="38"/>
      <c r="O122" s="39">
        <f>71500</f>
        <v>71500</v>
      </c>
    </row>
    <row r="123">
      <c r="A123" s="89"/>
      <c r="B123" s="24" t="s">
        <v>62</v>
      </c>
      <c r="C123" s="24" t="s">
        <v>63</v>
      </c>
      <c r="D123" s="37"/>
      <c r="F123" s="38"/>
      <c r="G123" s="25">
        <f>G122</f>
        <v>88000</v>
      </c>
      <c r="H123" s="22"/>
      <c r="I123" s="9"/>
      <c r="J123" s="24" t="s">
        <v>62</v>
      </c>
      <c r="K123" s="24" t="s">
        <v>63</v>
      </c>
      <c r="L123" s="37"/>
      <c r="N123" s="38"/>
      <c r="O123" s="25">
        <f>O122</f>
        <v>71500</v>
      </c>
    </row>
    <row r="124">
      <c r="A124" s="89"/>
      <c r="B124" s="24" t="s">
        <v>64</v>
      </c>
      <c r="C124" s="24" t="s">
        <v>65</v>
      </c>
      <c r="D124" s="40"/>
      <c r="E124" s="41"/>
      <c r="F124" s="42"/>
      <c r="G124" s="30">
        <f>SUM(G118:G122)</f>
        <v>153615.5</v>
      </c>
      <c r="H124" s="22"/>
      <c r="I124" s="9"/>
      <c r="J124" s="24" t="s">
        <v>64</v>
      </c>
      <c r="K124" s="24" t="s">
        <v>65</v>
      </c>
      <c r="L124" s="40"/>
      <c r="M124" s="41"/>
      <c r="N124" s="42"/>
      <c r="O124" s="30">
        <f>SUM(O118:O122)</f>
        <v>149231</v>
      </c>
    </row>
    <row r="125">
      <c r="A125" s="80"/>
      <c r="D125" s="80"/>
    </row>
    <row r="126">
      <c r="A126" s="80"/>
      <c r="D126" s="80"/>
    </row>
    <row r="127">
      <c r="A127" s="88" t="s">
        <v>66</v>
      </c>
      <c r="D127" s="80"/>
      <c r="E127" s="43" t="s">
        <v>67</v>
      </c>
      <c r="F127" s="44" t="str">
        <f> IF(((B88 - B83) + C142)=B102,"C'est bon","C'est pas bon")</f>
        <v>C'est pas bon</v>
      </c>
      <c r="J127" s="43" t="s">
        <v>67</v>
      </c>
      <c r="K127" s="44" t="str">
        <f> IF(((E88 - E83) + I142)=E102,"C'est bon","C'est pas bon")</f>
        <v>C'est bon</v>
      </c>
    </row>
    <row r="128">
      <c r="A128" s="80"/>
      <c r="B128" s="13">
        <f>F13</f>
        <v>2025</v>
      </c>
      <c r="D128" s="80"/>
      <c r="H128" s="13">
        <f>F13+1</f>
        <v>2026</v>
      </c>
    </row>
    <row r="129">
      <c r="A129" s="97" t="s">
        <v>68</v>
      </c>
      <c r="B129" s="46"/>
      <c r="C129" s="32"/>
      <c r="D129" s="32"/>
      <c r="E129" s="19"/>
      <c r="G129" s="45" t="s">
        <v>68</v>
      </c>
      <c r="H129" s="46"/>
      <c r="I129" s="32"/>
      <c r="J129" s="32"/>
      <c r="K129" s="19"/>
    </row>
    <row r="130">
      <c r="A130" s="14" t="s">
        <v>69</v>
      </c>
      <c r="B130" s="8" t="s">
        <v>70</v>
      </c>
      <c r="C130" s="9">
        <f>B84</f>
        <v>8000</v>
      </c>
      <c r="D130" s="98"/>
      <c r="E130" s="35"/>
      <c r="G130" s="8" t="s">
        <v>69</v>
      </c>
      <c r="H130" s="8" t="s">
        <v>70</v>
      </c>
      <c r="I130" s="9">
        <f>E84</f>
        <v>8000</v>
      </c>
      <c r="J130" s="47"/>
      <c r="K130" s="35"/>
    </row>
    <row r="131">
      <c r="A131" s="14" t="s">
        <v>71</v>
      </c>
      <c r="B131" s="8" t="s">
        <v>72</v>
      </c>
      <c r="C131" s="9">
        <f>C130</f>
        <v>8000</v>
      </c>
      <c r="D131" s="37"/>
      <c r="E131" s="38"/>
      <c r="G131" s="8" t="s">
        <v>71</v>
      </c>
      <c r="H131" s="8" t="s">
        <v>72</v>
      </c>
      <c r="I131" s="9">
        <f>I130</f>
        <v>8000</v>
      </c>
      <c r="J131" s="37"/>
      <c r="K131" s="38"/>
    </row>
    <row r="132">
      <c r="A132" s="14" t="s">
        <v>73</v>
      </c>
      <c r="B132" s="8" t="s">
        <v>74</v>
      </c>
      <c r="C132" s="9">
        <f t="shared" ref="C132:C133" si="126">B85</f>
        <v>10200</v>
      </c>
      <c r="D132" s="37"/>
      <c r="E132" s="38"/>
      <c r="G132" s="8" t="s">
        <v>73</v>
      </c>
      <c r="H132" s="8" t="s">
        <v>74</v>
      </c>
      <c r="I132" s="9">
        <f t="shared" ref="I132:I133" si="127">E85</f>
        <v>1200</v>
      </c>
      <c r="J132" s="37"/>
      <c r="K132" s="38"/>
    </row>
    <row r="133">
      <c r="A133" s="14" t="s">
        <v>75</v>
      </c>
      <c r="B133" s="8" t="s">
        <v>76</v>
      </c>
      <c r="C133" s="9">
        <f t="shared" si="126"/>
        <v>2000</v>
      </c>
      <c r="D133" s="37"/>
      <c r="E133" s="38"/>
      <c r="G133" s="8" t="s">
        <v>75</v>
      </c>
      <c r="H133" s="8" t="s">
        <v>76</v>
      </c>
      <c r="I133" s="9">
        <f t="shared" si="127"/>
        <v>2000</v>
      </c>
      <c r="J133" s="37"/>
      <c r="K133" s="38"/>
    </row>
    <row r="134">
      <c r="A134" s="14" t="s">
        <v>77</v>
      </c>
      <c r="B134" s="8" t="s">
        <v>78</v>
      </c>
      <c r="C134" s="9">
        <f>B83</f>
        <v>4384.5</v>
      </c>
      <c r="D134" s="37"/>
      <c r="E134" s="38"/>
      <c r="G134" s="8" t="s">
        <v>77</v>
      </c>
      <c r="H134" s="8" t="s">
        <v>78</v>
      </c>
      <c r="I134" s="9">
        <f>E83</f>
        <v>4384.5</v>
      </c>
      <c r="J134" s="37"/>
      <c r="K134" s="38"/>
    </row>
    <row r="135">
      <c r="A135" s="14" t="s">
        <v>79</v>
      </c>
      <c r="B135" s="8" t="s">
        <v>80</v>
      </c>
      <c r="C135" s="9">
        <f>SUM(C132:C134)</f>
        <v>16584.5</v>
      </c>
      <c r="D135" s="37"/>
      <c r="E135" s="38"/>
      <c r="G135" s="8" t="s">
        <v>79</v>
      </c>
      <c r="H135" s="8" t="s">
        <v>80</v>
      </c>
      <c r="I135" s="9">
        <f>SUM(I132:I134)</f>
        <v>7584.5</v>
      </c>
      <c r="J135" s="37"/>
      <c r="K135" s="38"/>
    </row>
    <row r="136">
      <c r="A136" s="14" t="s">
        <v>81</v>
      </c>
      <c r="B136" s="8" t="s">
        <v>82</v>
      </c>
      <c r="C136" s="9">
        <f>C131-C135</f>
        <v>-8584.5</v>
      </c>
      <c r="D136" s="37"/>
      <c r="E136" s="38"/>
      <c r="G136" s="8" t="s">
        <v>81</v>
      </c>
      <c r="H136" s="8" t="s">
        <v>82</v>
      </c>
      <c r="I136" s="9">
        <f>I131-I135</f>
        <v>415.5</v>
      </c>
      <c r="J136" s="37"/>
      <c r="K136" s="38"/>
    </row>
    <row r="137">
      <c r="A137" s="14" t="s">
        <v>83</v>
      </c>
      <c r="B137" s="8" t="s">
        <v>84</v>
      </c>
      <c r="C137" s="9">
        <f>B87</f>
        <v>3000</v>
      </c>
      <c r="D137" s="37"/>
      <c r="E137" s="38"/>
      <c r="G137" s="8" t="s">
        <v>83</v>
      </c>
      <c r="H137" s="8" t="s">
        <v>84</v>
      </c>
      <c r="I137" s="9">
        <f>E87</f>
        <v>3000</v>
      </c>
      <c r="J137" s="37"/>
      <c r="K137" s="38"/>
    </row>
    <row r="138">
      <c r="A138" s="14" t="s">
        <v>85</v>
      </c>
      <c r="B138" s="8" t="s">
        <v>86</v>
      </c>
      <c r="C138" s="9">
        <f>B90</f>
        <v>-11584.5</v>
      </c>
      <c r="D138" s="40"/>
      <c r="E138" s="42"/>
      <c r="G138" s="8" t="s">
        <v>85</v>
      </c>
      <c r="H138" s="8" t="s">
        <v>86</v>
      </c>
      <c r="I138" s="9">
        <f>E90</f>
        <v>-2584.5</v>
      </c>
      <c r="J138" s="40"/>
      <c r="K138" s="42"/>
    </row>
    <row r="139">
      <c r="A139" s="99" t="s">
        <v>87</v>
      </c>
      <c r="B139" s="46"/>
      <c r="C139" s="32"/>
      <c r="D139" s="32"/>
      <c r="E139" s="19"/>
      <c r="G139" s="48" t="s">
        <v>87</v>
      </c>
      <c r="H139" s="46"/>
      <c r="I139" s="32"/>
      <c r="J139" s="32"/>
      <c r="K139" s="19"/>
    </row>
    <row r="140">
      <c r="A140" s="14" t="s">
        <v>88</v>
      </c>
      <c r="B140" s="8" t="s">
        <v>89</v>
      </c>
      <c r="C140" s="9">
        <f>Max(0,C138)</f>
        <v>0</v>
      </c>
      <c r="D140" s="14" t="s">
        <v>90</v>
      </c>
      <c r="E140" s="9">
        <f>-MIN(0,C138)</f>
        <v>11584.5</v>
      </c>
      <c r="G140" s="8" t="s">
        <v>88</v>
      </c>
      <c r="H140" s="8" t="s">
        <v>89</v>
      </c>
      <c r="I140" s="9">
        <f>Max(0,I138)</f>
        <v>0</v>
      </c>
      <c r="J140" s="8" t="s">
        <v>90</v>
      </c>
      <c r="K140" s="9">
        <f>-MIN(0,I138)</f>
        <v>2584.5</v>
      </c>
    </row>
    <row r="141">
      <c r="A141" s="14" t="s">
        <v>91</v>
      </c>
      <c r="B141" s="8" t="s">
        <v>92</v>
      </c>
      <c r="C141" s="9">
        <f>B91</f>
        <v>4384.5</v>
      </c>
      <c r="D141" s="14" t="s">
        <v>93</v>
      </c>
      <c r="E141" s="9">
        <f>IF(B88 &gt; 0 , MIN(B88 , B83) , 0)</f>
        <v>0</v>
      </c>
      <c r="G141" s="8" t="s">
        <v>91</v>
      </c>
      <c r="H141" s="8" t="s">
        <v>92</v>
      </c>
      <c r="I141" s="9">
        <f>E91</f>
        <v>2584.5</v>
      </c>
      <c r="J141" s="8" t="s">
        <v>93</v>
      </c>
      <c r="K141" s="9">
        <f>IF(E88 &gt; 0 , MIN(E88 , E83) , 0)</f>
        <v>1800</v>
      </c>
    </row>
    <row r="142">
      <c r="A142" s="14" t="s">
        <v>94</v>
      </c>
      <c r="B142" s="8" t="s">
        <v>95</v>
      </c>
      <c r="C142" s="9">
        <f>B91</f>
        <v>4384.5</v>
      </c>
      <c r="D142" s="14" t="s">
        <v>96</v>
      </c>
      <c r="E142" s="9">
        <f>IF(B88 &lt; 0 , ABS(B88) , 0)</f>
        <v>7200</v>
      </c>
      <c r="G142" s="14" t="s">
        <v>94</v>
      </c>
      <c r="H142" s="8" t="s">
        <v>95</v>
      </c>
      <c r="I142" s="9">
        <f>E91</f>
        <v>2584.5</v>
      </c>
      <c r="J142" s="8" t="s">
        <v>96</v>
      </c>
      <c r="K142" s="9">
        <f>IF(E88 &lt; 0 , ABS(E88) , 0)</f>
        <v>0</v>
      </c>
    </row>
    <row r="143">
      <c r="A143" s="14" t="s">
        <v>97</v>
      </c>
      <c r="B143" s="8" t="s">
        <v>98</v>
      </c>
      <c r="C143" s="9">
        <f>IF(B97&gt;0,B97,0)</f>
        <v>0</v>
      </c>
      <c r="D143" s="14" t="s">
        <v>99</v>
      </c>
      <c r="E143" s="9">
        <f>IF(B97&lt;0,-B97,0)</f>
        <v>7200</v>
      </c>
      <c r="G143" s="8" t="s">
        <v>97</v>
      </c>
      <c r="H143" s="8" t="s">
        <v>98</v>
      </c>
      <c r="I143" s="9">
        <f>IF(E97&gt;0,E97,0)</f>
        <v>0</v>
      </c>
      <c r="J143" s="8" t="s">
        <v>99</v>
      </c>
      <c r="K143" s="9">
        <f>IF(E97&lt;0,-E97,0)</f>
        <v>0</v>
      </c>
    </row>
    <row r="144">
      <c r="A144" s="14" t="s">
        <v>100</v>
      </c>
      <c r="B144" s="8" t="s">
        <v>101</v>
      </c>
      <c r="C144" s="9">
        <f>MAX(0 , B88 - B83)</f>
        <v>0</v>
      </c>
      <c r="D144" s="14" t="s">
        <v>102</v>
      </c>
      <c r="E144" s="9">
        <f>IF(B102&lt;0,-B102,0)</f>
        <v>0</v>
      </c>
      <c r="G144" s="8" t="s">
        <v>103</v>
      </c>
      <c r="H144" s="8" t="s">
        <v>101</v>
      </c>
      <c r="I144" s="9">
        <f>MAX(0 , E88 - E83)</f>
        <v>0</v>
      </c>
      <c r="J144" s="8" t="s">
        <v>102</v>
      </c>
      <c r="K144" s="9">
        <f>IF(E102&lt;0,-E102,0)</f>
        <v>0</v>
      </c>
    </row>
    <row r="145">
      <c r="A145" s="80"/>
      <c r="D145" s="80"/>
    </row>
    <row r="146">
      <c r="A146" s="88" t="s">
        <v>104</v>
      </c>
      <c r="D146" s="80"/>
    </row>
    <row r="147">
      <c r="A147" s="100" t="s">
        <v>105</v>
      </c>
      <c r="D147" s="80"/>
    </row>
    <row r="148">
      <c r="A148" s="80"/>
      <c r="D148" s="80"/>
    </row>
    <row r="149">
      <c r="A149" s="101" t="s">
        <v>106</v>
      </c>
      <c r="B149" s="51">
        <f>F13</f>
        <v>2025</v>
      </c>
      <c r="D149" s="80"/>
      <c r="K149" s="50" t="s">
        <v>106</v>
      </c>
      <c r="L149" s="51">
        <f>F13+1</f>
        <v>2026</v>
      </c>
    </row>
    <row r="150">
      <c r="A150" s="80"/>
      <c r="D150" s="80"/>
    </row>
    <row r="151">
      <c r="A151" s="89"/>
      <c r="B151" s="52" t="s">
        <v>107</v>
      </c>
      <c r="C151" s="19"/>
      <c r="D151" s="56" t="s">
        <v>108</v>
      </c>
      <c r="E151" s="19"/>
      <c r="F151" s="53" t="s">
        <v>109</v>
      </c>
      <c r="G151" s="19"/>
      <c r="H151" s="54" t="s">
        <v>110</v>
      </c>
      <c r="I151" s="19"/>
      <c r="K151" s="9"/>
      <c r="L151" s="52" t="s">
        <v>107</v>
      </c>
      <c r="M151" s="19"/>
      <c r="N151" s="53" t="s">
        <v>108</v>
      </c>
      <c r="O151" s="19"/>
      <c r="P151" s="53" t="s">
        <v>109</v>
      </c>
      <c r="Q151" s="19"/>
      <c r="R151" s="54" t="s">
        <v>110</v>
      </c>
      <c r="S151" s="19"/>
    </row>
    <row r="152">
      <c r="A152" s="14" t="s">
        <v>111</v>
      </c>
      <c r="B152" s="8" t="s">
        <v>112</v>
      </c>
      <c r="C152" s="8">
        <v>0.0</v>
      </c>
      <c r="D152" s="14" t="s">
        <v>113</v>
      </c>
      <c r="E152" s="9">
        <f>IF(F13=B13,B9*B15,0)</f>
        <v>23700</v>
      </c>
      <c r="F152" s="8" t="s">
        <v>114</v>
      </c>
      <c r="G152" s="8">
        <v>0.0</v>
      </c>
      <c r="H152" s="8" t="s">
        <v>115</v>
      </c>
      <c r="I152" s="9">
        <f t="shared" ref="I152:I157" si="128">C152+E152+G152</f>
        <v>23700</v>
      </c>
      <c r="K152" s="8" t="s">
        <v>111</v>
      </c>
      <c r="L152" s="8" t="s">
        <v>112</v>
      </c>
      <c r="M152" s="8">
        <f t="shared" ref="M152:M156" si="129">I152</f>
        <v>23700</v>
      </c>
      <c r="N152" s="8" t="s">
        <v>113</v>
      </c>
      <c r="O152" s="8">
        <v>0.0</v>
      </c>
      <c r="P152" s="8" t="s">
        <v>114</v>
      </c>
      <c r="Q152" s="8">
        <v>0.0</v>
      </c>
      <c r="R152" s="8" t="s">
        <v>115</v>
      </c>
      <c r="S152" s="9">
        <f t="shared" ref="S152:S157" si="130">M152+O152+Q152</f>
        <v>23700</v>
      </c>
    </row>
    <row r="153">
      <c r="A153" s="14" t="s">
        <v>116</v>
      </c>
      <c r="B153" s="8" t="s">
        <v>117</v>
      </c>
      <c r="C153" s="8">
        <v>0.0</v>
      </c>
      <c r="D153" s="14" t="s">
        <v>118</v>
      </c>
      <c r="E153" s="9">
        <f>IF(F13=B13,B9*(B16+B17),0)</f>
        <v>86900</v>
      </c>
      <c r="F153" s="8" t="s">
        <v>119</v>
      </c>
      <c r="G153" s="8">
        <v>0.0</v>
      </c>
      <c r="H153" s="8" t="s">
        <v>120</v>
      </c>
      <c r="I153" s="9">
        <f t="shared" si="128"/>
        <v>86900</v>
      </c>
      <c r="K153" s="8" t="s">
        <v>116</v>
      </c>
      <c r="L153" s="8" t="s">
        <v>117</v>
      </c>
      <c r="M153" s="8">
        <f t="shared" si="129"/>
        <v>86900</v>
      </c>
      <c r="N153" s="8" t="s">
        <v>118</v>
      </c>
      <c r="O153" s="8">
        <v>0.0</v>
      </c>
      <c r="P153" s="8" t="s">
        <v>119</v>
      </c>
      <c r="Q153" s="8">
        <v>0.0</v>
      </c>
      <c r="R153" s="8" t="s">
        <v>120</v>
      </c>
      <c r="S153" s="9">
        <f t="shared" si="130"/>
        <v>86900</v>
      </c>
    </row>
    <row r="154">
      <c r="A154" s="14" t="s">
        <v>121</v>
      </c>
      <c r="B154" s="8" t="s">
        <v>122</v>
      </c>
      <c r="C154" s="8">
        <v>0.0</v>
      </c>
      <c r="D154" s="14" t="s">
        <v>123</v>
      </c>
      <c r="E154" s="9">
        <f>IF(F13=B13,B9*B18,0)</f>
        <v>23700</v>
      </c>
      <c r="F154" s="8" t="s">
        <v>124</v>
      </c>
      <c r="G154" s="8">
        <v>0.0</v>
      </c>
      <c r="H154" s="8" t="s">
        <v>125</v>
      </c>
      <c r="I154" s="9">
        <f t="shared" si="128"/>
        <v>23700</v>
      </c>
      <c r="K154" s="8" t="s">
        <v>121</v>
      </c>
      <c r="L154" s="8" t="s">
        <v>122</v>
      </c>
      <c r="M154" s="8">
        <f t="shared" si="129"/>
        <v>23700</v>
      </c>
      <c r="N154" s="8" t="s">
        <v>123</v>
      </c>
      <c r="O154" s="8">
        <v>0.0</v>
      </c>
      <c r="P154" s="8" t="s">
        <v>124</v>
      </c>
      <c r="Q154" s="8">
        <v>0.0</v>
      </c>
      <c r="R154" s="8" t="s">
        <v>125</v>
      </c>
      <c r="S154" s="9">
        <f t="shared" si="130"/>
        <v>23700</v>
      </c>
    </row>
    <row r="155">
      <c r="A155" s="14" t="s">
        <v>126</v>
      </c>
      <c r="B155" s="8" t="s">
        <v>127</v>
      </c>
      <c r="C155" s="8">
        <v>0.0</v>
      </c>
      <c r="D155" s="14" t="s">
        <v>128</v>
      </c>
      <c r="E155" s="9">
        <f>IF(F13=B13,B9*B19,0)</f>
        <v>23700</v>
      </c>
      <c r="F155" s="8" t="s">
        <v>129</v>
      </c>
      <c r="G155" s="8">
        <v>0.0</v>
      </c>
      <c r="H155" s="8" t="s">
        <v>130</v>
      </c>
      <c r="I155" s="9">
        <f t="shared" si="128"/>
        <v>23700</v>
      </c>
      <c r="K155" s="8" t="s">
        <v>126</v>
      </c>
      <c r="L155" s="8" t="s">
        <v>127</v>
      </c>
      <c r="M155" s="8">
        <f t="shared" si="129"/>
        <v>23700</v>
      </c>
      <c r="N155" s="8" t="s">
        <v>128</v>
      </c>
      <c r="O155" s="8">
        <v>0.0</v>
      </c>
      <c r="P155" s="8" t="s">
        <v>129</v>
      </c>
      <c r="Q155" s="8">
        <v>0.0</v>
      </c>
      <c r="R155" s="8" t="s">
        <v>130</v>
      </c>
      <c r="S155" s="9">
        <f t="shared" si="130"/>
        <v>23700</v>
      </c>
    </row>
    <row r="156">
      <c r="A156" s="14" t="s">
        <v>131</v>
      </c>
      <c r="B156" s="8" t="s">
        <v>132</v>
      </c>
      <c r="C156" s="8">
        <v>0.0</v>
      </c>
      <c r="D156" s="14" t="s">
        <v>133</v>
      </c>
      <c r="E156" s="9">
        <f>IF(F13=B13,B20,0)</f>
        <v>0</v>
      </c>
      <c r="F156" s="8" t="s">
        <v>134</v>
      </c>
      <c r="G156" s="8">
        <v>0.0</v>
      </c>
      <c r="H156" s="8" t="s">
        <v>135</v>
      </c>
      <c r="I156" s="9">
        <f t="shared" si="128"/>
        <v>0</v>
      </c>
      <c r="K156" s="8" t="s">
        <v>131</v>
      </c>
      <c r="L156" s="8" t="s">
        <v>132</v>
      </c>
      <c r="M156" s="8">
        <f t="shared" si="129"/>
        <v>0</v>
      </c>
      <c r="N156" s="8" t="s">
        <v>133</v>
      </c>
      <c r="O156" s="8">
        <v>0.0</v>
      </c>
      <c r="P156" s="8" t="s">
        <v>134</v>
      </c>
      <c r="Q156" s="8">
        <v>0.0</v>
      </c>
      <c r="R156" s="8" t="s">
        <v>135</v>
      </c>
      <c r="S156" s="9">
        <f t="shared" si="130"/>
        <v>0</v>
      </c>
    </row>
    <row r="157">
      <c r="A157" s="14" t="s">
        <v>136</v>
      </c>
      <c r="B157" s="8" t="s">
        <v>137</v>
      </c>
      <c r="C157" s="8">
        <v>0.0</v>
      </c>
      <c r="D157" s="14" t="s">
        <v>138</v>
      </c>
      <c r="E157" s="8">
        <v>0.0</v>
      </c>
      <c r="F157" s="8" t="s">
        <v>139</v>
      </c>
      <c r="G157" s="8">
        <v>0.0</v>
      </c>
      <c r="H157" s="8" t="s">
        <v>140</v>
      </c>
      <c r="I157" s="9">
        <f t="shared" si="128"/>
        <v>0</v>
      </c>
      <c r="K157" s="8" t="s">
        <v>136</v>
      </c>
      <c r="L157" s="8" t="s">
        <v>137</v>
      </c>
      <c r="M157" s="8">
        <v>0.0</v>
      </c>
      <c r="N157" s="8" t="s">
        <v>138</v>
      </c>
      <c r="O157" s="8">
        <v>0.0</v>
      </c>
      <c r="P157" s="8" t="s">
        <v>139</v>
      </c>
      <c r="Q157" s="8">
        <v>0.0</v>
      </c>
      <c r="R157" s="8" t="s">
        <v>140</v>
      </c>
      <c r="S157" s="9">
        <f t="shared" si="130"/>
        <v>0</v>
      </c>
    </row>
    <row r="158">
      <c r="A158" s="14" t="s">
        <v>48</v>
      </c>
      <c r="B158" s="8" t="s">
        <v>141</v>
      </c>
      <c r="C158" s="8">
        <v>0.0</v>
      </c>
      <c r="D158" s="14" t="s">
        <v>142</v>
      </c>
      <c r="E158" s="9">
        <f>SUM(E152:E157)</f>
        <v>158000</v>
      </c>
      <c r="F158" s="8" t="s">
        <v>143</v>
      </c>
      <c r="G158" s="8">
        <v>0.0</v>
      </c>
      <c r="H158" s="8" t="s">
        <v>144</v>
      </c>
      <c r="I158" s="9">
        <f>SUM(I152:I157)</f>
        <v>158000</v>
      </c>
      <c r="K158" s="8" t="s">
        <v>48</v>
      </c>
      <c r="L158" s="8" t="s">
        <v>141</v>
      </c>
      <c r="M158" s="8">
        <f>SUM(M152:M157)</f>
        <v>158000</v>
      </c>
      <c r="N158" s="8" t="s">
        <v>142</v>
      </c>
      <c r="O158" s="8">
        <v>0.0</v>
      </c>
      <c r="P158" s="8" t="s">
        <v>143</v>
      </c>
      <c r="Q158" s="8">
        <v>0.0</v>
      </c>
      <c r="R158" s="8" t="s">
        <v>144</v>
      </c>
      <c r="S158" s="9">
        <f>SUM(S152:S157)</f>
        <v>158000</v>
      </c>
    </row>
    <row r="159">
      <c r="A159" s="80"/>
      <c r="D159" s="80"/>
    </row>
    <row r="160">
      <c r="A160" s="102" t="s">
        <v>145</v>
      </c>
      <c r="D160" s="80"/>
    </row>
    <row r="161">
      <c r="A161" s="80"/>
      <c r="B161" s="13">
        <f>F13</f>
        <v>2025</v>
      </c>
      <c r="D161" s="80"/>
      <c r="L161" s="13">
        <f>F13+1</f>
        <v>2026</v>
      </c>
    </row>
    <row r="162">
      <c r="A162" s="89"/>
      <c r="B162" s="52" t="s">
        <v>146</v>
      </c>
      <c r="C162" s="19"/>
      <c r="D162" s="56" t="s">
        <v>147</v>
      </c>
      <c r="E162" s="19"/>
      <c r="F162" s="56" t="s">
        <v>109</v>
      </c>
      <c r="G162" s="19"/>
      <c r="H162" s="54" t="s">
        <v>110</v>
      </c>
      <c r="I162" s="19"/>
      <c r="K162" s="9"/>
      <c r="L162" s="52" t="s">
        <v>146</v>
      </c>
      <c r="M162" s="19"/>
      <c r="N162" s="56" t="s">
        <v>147</v>
      </c>
      <c r="O162" s="19"/>
      <c r="P162" s="56" t="s">
        <v>109</v>
      </c>
      <c r="Q162" s="19"/>
      <c r="R162" s="54" t="s">
        <v>110</v>
      </c>
      <c r="S162" s="19"/>
    </row>
    <row r="163">
      <c r="A163" s="14" t="s">
        <v>148</v>
      </c>
      <c r="B163" s="8" t="s">
        <v>149</v>
      </c>
      <c r="C163" s="8">
        <v>0.0</v>
      </c>
      <c r="D163" s="14" t="s">
        <v>150</v>
      </c>
      <c r="E163" s="8">
        <v>0.0</v>
      </c>
      <c r="F163" s="8" t="s">
        <v>151</v>
      </c>
      <c r="G163" s="8">
        <v>0.0</v>
      </c>
      <c r="H163" s="8" t="s">
        <v>152</v>
      </c>
      <c r="I163" s="9">
        <f t="shared" ref="I163:I168" si="131">C163+E163+G163</f>
        <v>0</v>
      </c>
      <c r="K163" s="8" t="s">
        <v>148</v>
      </c>
      <c r="L163" s="8" t="s">
        <v>149</v>
      </c>
      <c r="M163" s="8">
        <f t="shared" ref="M163:M168" si="132">I163</f>
        <v>0</v>
      </c>
      <c r="N163" s="8" t="s">
        <v>150</v>
      </c>
      <c r="O163" s="8">
        <v>0.0</v>
      </c>
      <c r="P163" s="8" t="s">
        <v>151</v>
      </c>
      <c r="Q163" s="8">
        <v>0.0</v>
      </c>
      <c r="R163" s="8" t="s">
        <v>152</v>
      </c>
      <c r="S163" s="9">
        <f t="shared" ref="S163:S168" si="133">M163+O163+Q163</f>
        <v>0</v>
      </c>
    </row>
    <row r="164">
      <c r="A164" s="14" t="s">
        <v>111</v>
      </c>
      <c r="B164" s="8" t="s">
        <v>153</v>
      </c>
      <c r="C164" s="8">
        <v>0.0</v>
      </c>
      <c r="D164" s="14" t="s">
        <v>154</v>
      </c>
      <c r="E164" s="8">
        <v>0.0</v>
      </c>
      <c r="F164" s="8" t="s">
        <v>155</v>
      </c>
      <c r="G164" s="8">
        <v>0.0</v>
      </c>
      <c r="H164" s="8" t="s">
        <v>156</v>
      </c>
      <c r="I164" s="9">
        <f t="shared" si="131"/>
        <v>0</v>
      </c>
      <c r="K164" s="8" t="s">
        <v>111</v>
      </c>
      <c r="L164" s="8" t="s">
        <v>153</v>
      </c>
      <c r="M164" s="8">
        <f t="shared" si="132"/>
        <v>0</v>
      </c>
      <c r="N164" s="8" t="s">
        <v>154</v>
      </c>
      <c r="O164" s="8">
        <v>0.0</v>
      </c>
      <c r="P164" s="8" t="s">
        <v>155</v>
      </c>
      <c r="Q164" s="8">
        <v>0.0</v>
      </c>
      <c r="R164" s="8" t="s">
        <v>156</v>
      </c>
      <c r="S164" s="9">
        <f t="shared" si="133"/>
        <v>0</v>
      </c>
    </row>
    <row r="165">
      <c r="A165" s="14" t="s">
        <v>116</v>
      </c>
      <c r="B165" s="8" t="s">
        <v>157</v>
      </c>
      <c r="C165" s="8">
        <v>0.0</v>
      </c>
      <c r="D165" s="14" t="s">
        <v>158</v>
      </c>
      <c r="E165" s="9">
        <f t="array" ref="E165">Indirect(ADDRESS(H13,8))</f>
        <v>1856.5</v>
      </c>
      <c r="F165" s="8" t="s">
        <v>159</v>
      </c>
      <c r="G165" s="8">
        <v>0.0</v>
      </c>
      <c r="H165" s="8" t="s">
        <v>160</v>
      </c>
      <c r="I165" s="9">
        <f t="shared" si="131"/>
        <v>1856.5</v>
      </c>
      <c r="K165" s="8" t="s">
        <v>116</v>
      </c>
      <c r="L165" s="8" t="s">
        <v>157</v>
      </c>
      <c r="M165" s="8">
        <f t="shared" si="132"/>
        <v>1856.5</v>
      </c>
      <c r="N165" s="8" t="s">
        <v>158</v>
      </c>
      <c r="O165" s="9">
        <f t="array" ref="O165">Indirect(ADDRESS(H13+1,8))</f>
        <v>1856.5</v>
      </c>
      <c r="P165" s="8" t="s">
        <v>159</v>
      </c>
      <c r="Q165" s="8">
        <v>0.0</v>
      </c>
      <c r="R165" s="8" t="s">
        <v>160</v>
      </c>
      <c r="S165" s="9">
        <f t="shared" si="133"/>
        <v>3713</v>
      </c>
    </row>
    <row r="166">
      <c r="A166" s="14" t="s">
        <v>121</v>
      </c>
      <c r="B166" s="8" t="s">
        <v>161</v>
      </c>
      <c r="C166" s="8">
        <v>0.0</v>
      </c>
      <c r="D166" s="14" t="s">
        <v>162</v>
      </c>
      <c r="E166" s="9">
        <f t="array" ref="E166">Indirect(ADDRESS(H13,4))</f>
        <v>948</v>
      </c>
      <c r="F166" s="8" t="s">
        <v>163</v>
      </c>
      <c r="G166" s="8">
        <v>0.0</v>
      </c>
      <c r="H166" s="8" t="s">
        <v>164</v>
      </c>
      <c r="I166" s="9">
        <f t="shared" si="131"/>
        <v>948</v>
      </c>
      <c r="K166" s="8" t="s">
        <v>121</v>
      </c>
      <c r="L166" s="8" t="s">
        <v>161</v>
      </c>
      <c r="M166" s="8">
        <f t="shared" si="132"/>
        <v>948</v>
      </c>
      <c r="N166" s="8" t="s">
        <v>162</v>
      </c>
      <c r="O166" s="9">
        <f t="array" ref="O166">Indirect(ADDRESS(H13+1,4))</f>
        <v>948</v>
      </c>
      <c r="P166" s="8" t="s">
        <v>163</v>
      </c>
      <c r="Q166" s="8">
        <v>0.0</v>
      </c>
      <c r="R166" s="8" t="s">
        <v>164</v>
      </c>
      <c r="S166" s="9">
        <f t="shared" si="133"/>
        <v>1896</v>
      </c>
    </row>
    <row r="167">
      <c r="A167" s="14" t="s">
        <v>126</v>
      </c>
      <c r="B167" s="8" t="s">
        <v>165</v>
      </c>
      <c r="C167" s="8">
        <v>0.0</v>
      </c>
      <c r="D167" s="14" t="s">
        <v>166</v>
      </c>
      <c r="E167" s="9">
        <f t="array" ref="E167">Indirect(ADDRESS(H13,5))</f>
        <v>1580</v>
      </c>
      <c r="F167" s="8" t="s">
        <v>167</v>
      </c>
      <c r="G167" s="8">
        <v>0.0</v>
      </c>
      <c r="H167" s="8" t="s">
        <v>168</v>
      </c>
      <c r="I167" s="9">
        <f t="shared" si="131"/>
        <v>1580</v>
      </c>
      <c r="K167" s="8" t="s">
        <v>126</v>
      </c>
      <c r="L167" s="8" t="s">
        <v>165</v>
      </c>
      <c r="M167" s="8">
        <f t="shared" si="132"/>
        <v>1580</v>
      </c>
      <c r="N167" s="8" t="s">
        <v>166</v>
      </c>
      <c r="O167" s="9">
        <f t="array" ref="O167">Indirect(ADDRESS(H13+1,5))</f>
        <v>1580</v>
      </c>
      <c r="P167" s="8" t="s">
        <v>167</v>
      </c>
      <c r="Q167" s="8">
        <v>0.0</v>
      </c>
      <c r="R167" s="8" t="s">
        <v>168</v>
      </c>
      <c r="S167" s="9">
        <f t="shared" si="133"/>
        <v>3160</v>
      </c>
    </row>
    <row r="168">
      <c r="A168" s="14" t="s">
        <v>131</v>
      </c>
      <c r="B168" s="8" t="s">
        <v>169</v>
      </c>
      <c r="C168" s="8">
        <v>0.0</v>
      </c>
      <c r="D168" s="14" t="s">
        <v>170</v>
      </c>
      <c r="E168" s="8">
        <f t="array" ref="E168">Indirect(ADDRESS(H13,6))</f>
        <v>0</v>
      </c>
      <c r="F168" s="8" t="s">
        <v>171</v>
      </c>
      <c r="G168" s="8">
        <v>0.0</v>
      </c>
      <c r="H168" s="8" t="s">
        <v>172</v>
      </c>
      <c r="I168" s="9">
        <f t="shared" si="131"/>
        <v>0</v>
      </c>
      <c r="K168" s="8" t="s">
        <v>131</v>
      </c>
      <c r="L168" s="8" t="s">
        <v>169</v>
      </c>
      <c r="M168" s="8">
        <f t="shared" si="132"/>
        <v>0</v>
      </c>
      <c r="N168" s="8" t="s">
        <v>170</v>
      </c>
      <c r="O168" s="9">
        <f t="array" ref="O168">Indirect(ADDRESS(H13+1,6))</f>
        <v>0</v>
      </c>
      <c r="P168" s="8" t="s">
        <v>171</v>
      </c>
      <c r="Q168" s="8">
        <v>0.0</v>
      </c>
      <c r="R168" s="8" t="s">
        <v>172</v>
      </c>
      <c r="S168" s="9">
        <f t="shared" si="133"/>
        <v>0</v>
      </c>
    </row>
    <row r="169">
      <c r="A169" s="14" t="s">
        <v>48</v>
      </c>
      <c r="B169" s="8" t="s">
        <v>173</v>
      </c>
      <c r="C169" s="8">
        <v>0.0</v>
      </c>
      <c r="D169" s="14" t="s">
        <v>174</v>
      </c>
      <c r="E169" s="9">
        <f>SUM(E163:E168)</f>
        <v>4384.5</v>
      </c>
      <c r="F169" s="8" t="s">
        <v>175</v>
      </c>
      <c r="G169" s="8">
        <v>0.0</v>
      </c>
      <c r="H169" s="8" t="s">
        <v>176</v>
      </c>
      <c r="I169" s="9">
        <f>SUM(I163:I168)</f>
        <v>4384.5</v>
      </c>
      <c r="K169" s="8" t="s">
        <v>48</v>
      </c>
      <c r="L169" s="8" t="s">
        <v>173</v>
      </c>
      <c r="M169" s="8">
        <f>SUM(M163:M168)</f>
        <v>4384.5</v>
      </c>
      <c r="N169" s="8" t="s">
        <v>174</v>
      </c>
      <c r="O169" s="9">
        <f>SUM(O163:O168)</f>
        <v>4384.5</v>
      </c>
      <c r="P169" s="8" t="s">
        <v>175</v>
      </c>
      <c r="Q169" s="8">
        <v>0.0</v>
      </c>
      <c r="R169" s="8" t="s">
        <v>176</v>
      </c>
      <c r="S169" s="9">
        <f>SUM(S163:S168)</f>
        <v>8769</v>
      </c>
    </row>
    <row r="170">
      <c r="A170" s="80"/>
      <c r="D170" s="80"/>
    </row>
    <row r="171">
      <c r="A171" s="80"/>
      <c r="D171" s="80"/>
    </row>
    <row r="172">
      <c r="A172" s="88" t="s">
        <v>177</v>
      </c>
      <c r="D172" s="80"/>
    </row>
    <row r="173">
      <c r="A173" s="80"/>
      <c r="D173" s="80"/>
    </row>
    <row r="174">
      <c r="A174" s="103" t="s">
        <v>178</v>
      </c>
      <c r="D174" s="80"/>
    </row>
    <row r="175">
      <c r="A175" s="80"/>
      <c r="D175" s="80"/>
    </row>
    <row r="176">
      <c r="A176" s="104" t="s">
        <v>106</v>
      </c>
      <c r="B176" s="59">
        <f>F13</f>
        <v>2025</v>
      </c>
      <c r="D176" s="80"/>
      <c r="E176" s="58" t="s">
        <v>106</v>
      </c>
      <c r="F176" s="59">
        <f>F13+1</f>
        <v>2026</v>
      </c>
    </row>
    <row r="177">
      <c r="A177" s="80"/>
      <c r="D177" s="80"/>
    </row>
    <row r="178">
      <c r="A178" s="14" t="s">
        <v>179</v>
      </c>
      <c r="B178" s="8" t="s">
        <v>180</v>
      </c>
      <c r="C178" s="9">
        <f t="shared" ref="C178:C179" si="134">B98</f>
        <v>0</v>
      </c>
      <c r="D178" s="80"/>
      <c r="E178" s="8" t="s">
        <v>179</v>
      </c>
      <c r="F178" s="8" t="s">
        <v>180</v>
      </c>
      <c r="G178" s="9">
        <f t="shared" ref="G178:G179" si="135">E98</f>
        <v>7200</v>
      </c>
    </row>
    <row r="179">
      <c r="A179" s="14" t="s">
        <v>181</v>
      </c>
      <c r="B179" s="8" t="s">
        <v>182</v>
      </c>
      <c r="C179" s="9">
        <f t="shared" si="134"/>
        <v>0</v>
      </c>
      <c r="D179" s="80"/>
      <c r="E179" s="8" t="s">
        <v>181</v>
      </c>
      <c r="F179" s="8" t="s">
        <v>182</v>
      </c>
      <c r="G179" s="9">
        <f t="shared" si="135"/>
        <v>0</v>
      </c>
    </row>
    <row r="180">
      <c r="A180" s="14" t="s">
        <v>183</v>
      </c>
      <c r="B180" s="8" t="s">
        <v>184</v>
      </c>
      <c r="C180" s="9">
        <f>C178-C179</f>
        <v>0</v>
      </c>
      <c r="D180" s="80"/>
      <c r="E180" s="8" t="s">
        <v>183</v>
      </c>
      <c r="F180" s="8" t="s">
        <v>184</v>
      </c>
      <c r="G180" s="9">
        <f>G178-G179</f>
        <v>7200</v>
      </c>
    </row>
    <row r="181">
      <c r="A181" s="14" t="s">
        <v>185</v>
      </c>
      <c r="B181" s="8" t="s">
        <v>186</v>
      </c>
      <c r="C181" s="9">
        <f>B89</f>
        <v>7200</v>
      </c>
      <c r="D181" s="80"/>
      <c r="E181" s="8" t="s">
        <v>185</v>
      </c>
      <c r="F181" s="8" t="s">
        <v>186</v>
      </c>
      <c r="G181" s="9">
        <f>E89</f>
        <v>0</v>
      </c>
    </row>
    <row r="182">
      <c r="A182" s="14" t="s">
        <v>187</v>
      </c>
      <c r="B182" s="8" t="s">
        <v>188</v>
      </c>
      <c r="C182" s="9">
        <f>C180+C181</f>
        <v>7200</v>
      </c>
      <c r="D182" s="80"/>
      <c r="E182" s="8" t="s">
        <v>187</v>
      </c>
      <c r="F182" s="8" t="s">
        <v>188</v>
      </c>
      <c r="G182" s="9">
        <f>G180+G181</f>
        <v>7200</v>
      </c>
    </row>
    <row r="183">
      <c r="A183" s="80"/>
      <c r="D183" s="80"/>
    </row>
    <row r="184">
      <c r="A184" s="80"/>
      <c r="D184" s="80"/>
    </row>
    <row r="185">
      <c r="A185" s="80"/>
      <c r="D185" s="80"/>
    </row>
    <row r="186">
      <c r="A186" s="80"/>
      <c r="D186" s="80"/>
    </row>
    <row r="187">
      <c r="A187" s="80"/>
      <c r="D187" s="80"/>
    </row>
    <row r="188">
      <c r="A188" s="80"/>
      <c r="D188" s="80"/>
    </row>
    <row r="189">
      <c r="A189" s="80"/>
      <c r="D189" s="80"/>
    </row>
    <row r="190">
      <c r="A190" s="80"/>
      <c r="D190" s="80"/>
    </row>
    <row r="191">
      <c r="A191" s="80"/>
      <c r="D191" s="80"/>
    </row>
    <row r="192">
      <c r="A192" s="80"/>
      <c r="D192" s="80"/>
    </row>
    <row r="193">
      <c r="A193" s="80"/>
      <c r="D193" s="80"/>
    </row>
    <row r="194">
      <c r="A194" s="80"/>
      <c r="D194" s="80"/>
    </row>
    <row r="195">
      <c r="A195" s="80"/>
      <c r="D195" s="80"/>
    </row>
    <row r="196">
      <c r="A196" s="80"/>
      <c r="D196" s="80"/>
    </row>
    <row r="197">
      <c r="A197" s="80"/>
      <c r="D197" s="80"/>
    </row>
    <row r="198">
      <c r="A198" s="80"/>
      <c r="D198" s="80"/>
    </row>
    <row r="199">
      <c r="A199" s="80"/>
      <c r="D199" s="80"/>
    </row>
    <row r="200">
      <c r="A200" s="80"/>
      <c r="D200" s="80"/>
    </row>
    <row r="201">
      <c r="A201" s="80"/>
      <c r="D201" s="80"/>
    </row>
    <row r="202">
      <c r="A202" s="80"/>
      <c r="D202" s="80"/>
    </row>
    <row r="203">
      <c r="A203" s="80"/>
      <c r="D203" s="80"/>
    </row>
    <row r="204">
      <c r="A204" s="80"/>
      <c r="D204" s="80"/>
    </row>
    <row r="205">
      <c r="A205" s="80"/>
      <c r="D205" s="80"/>
    </row>
    <row r="206">
      <c r="A206" s="80"/>
      <c r="D206" s="80"/>
    </row>
    <row r="207">
      <c r="A207" s="80"/>
      <c r="D207" s="80"/>
    </row>
    <row r="208">
      <c r="A208" s="80"/>
      <c r="D208" s="80"/>
    </row>
    <row r="209">
      <c r="A209" s="80"/>
      <c r="D209" s="80"/>
    </row>
    <row r="210">
      <c r="A210" s="80"/>
      <c r="D210" s="80"/>
    </row>
    <row r="211">
      <c r="A211" s="80"/>
      <c r="D211" s="80"/>
    </row>
    <row r="212">
      <c r="A212" s="80"/>
      <c r="D212" s="80"/>
    </row>
    <row r="213">
      <c r="A213" s="80"/>
      <c r="D213" s="80"/>
    </row>
    <row r="214">
      <c r="A214" s="80"/>
      <c r="D214" s="80"/>
    </row>
    <row r="215">
      <c r="A215" s="80"/>
      <c r="D215" s="80"/>
    </row>
    <row r="216">
      <c r="A216" s="80"/>
      <c r="D216" s="80"/>
    </row>
    <row r="217">
      <c r="A217" s="80"/>
      <c r="D217" s="80"/>
    </row>
    <row r="218">
      <c r="A218" s="80"/>
      <c r="D218" s="80"/>
    </row>
    <row r="219">
      <c r="A219" s="80"/>
      <c r="D219" s="80"/>
    </row>
    <row r="220">
      <c r="A220" s="80"/>
      <c r="D220" s="80"/>
    </row>
    <row r="221">
      <c r="A221" s="80"/>
      <c r="D221" s="80"/>
    </row>
    <row r="222">
      <c r="A222" s="80"/>
      <c r="D222" s="80"/>
    </row>
    <row r="223">
      <c r="A223" s="80"/>
      <c r="D223" s="80"/>
    </row>
    <row r="224">
      <c r="A224" s="80"/>
      <c r="D224" s="80"/>
    </row>
    <row r="225">
      <c r="A225" s="80"/>
      <c r="D225" s="80"/>
    </row>
    <row r="226">
      <c r="A226" s="80"/>
      <c r="D226" s="80"/>
    </row>
    <row r="227">
      <c r="A227" s="80"/>
      <c r="D227" s="80"/>
    </row>
    <row r="228">
      <c r="A228" s="80"/>
      <c r="D228" s="80"/>
    </row>
    <row r="229">
      <c r="A229" s="80"/>
      <c r="D229" s="80"/>
    </row>
    <row r="230">
      <c r="A230" s="80"/>
      <c r="D230" s="80"/>
    </row>
    <row r="231">
      <c r="A231" s="80"/>
      <c r="D231" s="80"/>
    </row>
    <row r="232">
      <c r="A232" s="80"/>
      <c r="D232" s="80"/>
    </row>
    <row r="233">
      <c r="A233" s="80"/>
      <c r="D233" s="80"/>
    </row>
    <row r="234">
      <c r="A234" s="80"/>
      <c r="D234" s="80"/>
    </row>
    <row r="235">
      <c r="A235" s="80"/>
      <c r="D235" s="80"/>
    </row>
    <row r="236">
      <c r="A236" s="80"/>
      <c r="D236" s="80"/>
    </row>
    <row r="237">
      <c r="A237" s="80"/>
      <c r="D237" s="80"/>
    </row>
    <row r="238">
      <c r="A238" s="80"/>
      <c r="D238" s="80"/>
    </row>
    <row r="239">
      <c r="A239" s="80"/>
      <c r="D239" s="80"/>
    </row>
    <row r="240">
      <c r="A240" s="80"/>
      <c r="D240" s="80"/>
    </row>
    <row r="241">
      <c r="A241" s="80"/>
      <c r="D241" s="80"/>
    </row>
    <row r="242">
      <c r="A242" s="80"/>
      <c r="D242" s="80"/>
    </row>
    <row r="243">
      <c r="A243" s="80"/>
      <c r="D243" s="80"/>
    </row>
    <row r="244">
      <c r="A244" s="80"/>
      <c r="D244" s="80"/>
    </row>
    <row r="245">
      <c r="A245" s="80"/>
      <c r="D245" s="80"/>
    </row>
    <row r="246">
      <c r="A246" s="80"/>
      <c r="D246" s="80"/>
    </row>
    <row r="247">
      <c r="A247" s="80"/>
      <c r="D247" s="80"/>
    </row>
    <row r="248">
      <c r="A248" s="80"/>
      <c r="D248" s="80"/>
    </row>
    <row r="249">
      <c r="A249" s="80"/>
      <c r="D249" s="80"/>
    </row>
    <row r="250">
      <c r="A250" s="80"/>
      <c r="D250" s="80"/>
    </row>
    <row r="251">
      <c r="A251" s="80"/>
      <c r="D251" s="80"/>
    </row>
    <row r="252">
      <c r="A252" s="80"/>
      <c r="D252" s="80"/>
    </row>
    <row r="253">
      <c r="A253" s="80"/>
      <c r="D253" s="80"/>
    </row>
    <row r="254">
      <c r="A254" s="80"/>
      <c r="D254" s="80"/>
    </row>
    <row r="255">
      <c r="A255" s="80"/>
      <c r="D255" s="80"/>
    </row>
    <row r="256">
      <c r="A256" s="80"/>
      <c r="D256" s="80"/>
    </row>
    <row r="257">
      <c r="A257" s="80"/>
      <c r="D257" s="80"/>
    </row>
    <row r="258">
      <c r="A258" s="80"/>
      <c r="D258" s="80"/>
    </row>
    <row r="259">
      <c r="A259" s="80"/>
      <c r="D259" s="80"/>
    </row>
    <row r="260">
      <c r="A260" s="80"/>
      <c r="D260" s="80"/>
    </row>
    <row r="261">
      <c r="A261" s="80"/>
      <c r="D261" s="80"/>
    </row>
    <row r="262">
      <c r="A262" s="80"/>
      <c r="D262" s="80"/>
    </row>
    <row r="263">
      <c r="A263" s="80"/>
      <c r="D263" s="80"/>
    </row>
    <row r="264">
      <c r="A264" s="80"/>
      <c r="D264" s="80"/>
    </row>
    <row r="265">
      <c r="A265" s="80"/>
      <c r="D265" s="80"/>
    </row>
    <row r="266">
      <c r="A266" s="80"/>
      <c r="D266" s="80"/>
    </row>
    <row r="267">
      <c r="A267" s="80"/>
      <c r="D267" s="80"/>
    </row>
    <row r="268">
      <c r="A268" s="80"/>
      <c r="D268" s="80"/>
    </row>
    <row r="269">
      <c r="A269" s="80"/>
      <c r="D269" s="80"/>
    </row>
    <row r="270">
      <c r="A270" s="80"/>
      <c r="D270" s="80"/>
    </row>
    <row r="271">
      <c r="A271" s="80"/>
      <c r="D271" s="80"/>
    </row>
    <row r="272">
      <c r="A272" s="80"/>
      <c r="D272" s="80"/>
    </row>
    <row r="273">
      <c r="A273" s="80"/>
      <c r="D273" s="80"/>
    </row>
    <row r="274">
      <c r="A274" s="80"/>
      <c r="D274" s="80"/>
    </row>
    <row r="275">
      <c r="A275" s="80"/>
      <c r="D275" s="80"/>
    </row>
    <row r="276">
      <c r="A276" s="80"/>
      <c r="D276" s="80"/>
    </row>
    <row r="277">
      <c r="A277" s="80"/>
      <c r="D277" s="80"/>
    </row>
    <row r="278">
      <c r="A278" s="80"/>
      <c r="D278" s="80"/>
    </row>
    <row r="279">
      <c r="A279" s="80"/>
      <c r="D279" s="80"/>
    </row>
    <row r="280">
      <c r="A280" s="80"/>
      <c r="D280" s="80"/>
    </row>
    <row r="281">
      <c r="A281" s="80"/>
      <c r="D281" s="80"/>
    </row>
    <row r="282">
      <c r="A282" s="80"/>
      <c r="D282" s="80"/>
    </row>
    <row r="283">
      <c r="A283" s="80"/>
      <c r="D283" s="80"/>
    </row>
    <row r="284">
      <c r="A284" s="80"/>
      <c r="D284" s="80"/>
    </row>
    <row r="285">
      <c r="A285" s="80"/>
      <c r="D285" s="80"/>
    </row>
    <row r="286">
      <c r="A286" s="80"/>
      <c r="D286" s="80"/>
    </row>
    <row r="287">
      <c r="A287" s="80"/>
      <c r="D287" s="80"/>
    </row>
    <row r="288">
      <c r="A288" s="80"/>
      <c r="D288" s="80"/>
    </row>
    <row r="289">
      <c r="A289" s="80"/>
      <c r="D289" s="80"/>
    </row>
    <row r="290">
      <c r="A290" s="80"/>
      <c r="D290" s="80"/>
    </row>
    <row r="291">
      <c r="A291" s="80"/>
      <c r="D291" s="80"/>
    </row>
    <row r="292">
      <c r="A292" s="80"/>
      <c r="D292" s="80"/>
    </row>
    <row r="293">
      <c r="A293" s="80"/>
      <c r="D293" s="80"/>
    </row>
    <row r="294">
      <c r="A294" s="80"/>
      <c r="D294" s="80"/>
    </row>
    <row r="295">
      <c r="A295" s="80"/>
      <c r="D295" s="80"/>
    </row>
    <row r="296">
      <c r="A296" s="80"/>
      <c r="D296" s="80"/>
    </row>
    <row r="297">
      <c r="A297" s="80"/>
      <c r="D297" s="80"/>
    </row>
    <row r="298">
      <c r="A298" s="80"/>
      <c r="D298" s="80"/>
    </row>
    <row r="299">
      <c r="A299" s="80"/>
      <c r="D299" s="80"/>
    </row>
    <row r="300">
      <c r="A300" s="80"/>
      <c r="D300" s="80"/>
    </row>
    <row r="301">
      <c r="A301" s="80"/>
      <c r="D301" s="80"/>
    </row>
    <row r="302">
      <c r="A302" s="80"/>
      <c r="D302" s="80"/>
    </row>
    <row r="303">
      <c r="A303" s="80"/>
      <c r="D303" s="80"/>
    </row>
    <row r="304">
      <c r="A304" s="80"/>
      <c r="D304" s="80"/>
    </row>
    <row r="305">
      <c r="A305" s="80"/>
      <c r="D305" s="80"/>
    </row>
    <row r="306">
      <c r="A306" s="80"/>
      <c r="D306" s="80"/>
    </row>
    <row r="307">
      <c r="A307" s="80"/>
      <c r="D307" s="80"/>
    </row>
    <row r="308">
      <c r="A308" s="80"/>
      <c r="D308" s="80"/>
    </row>
    <row r="309">
      <c r="A309" s="80"/>
      <c r="D309" s="80"/>
    </row>
    <row r="310">
      <c r="A310" s="80"/>
      <c r="D310" s="80"/>
    </row>
    <row r="311">
      <c r="A311" s="80"/>
      <c r="D311" s="80"/>
    </row>
    <row r="312">
      <c r="A312" s="80"/>
      <c r="D312" s="80"/>
    </row>
    <row r="313">
      <c r="A313" s="80"/>
      <c r="D313" s="80"/>
    </row>
    <row r="314">
      <c r="A314" s="80"/>
      <c r="D314" s="80"/>
    </row>
    <row r="315">
      <c r="A315" s="80"/>
      <c r="D315" s="80"/>
    </row>
    <row r="316">
      <c r="A316" s="80"/>
      <c r="D316" s="80"/>
    </row>
    <row r="317">
      <c r="A317" s="80"/>
      <c r="D317" s="80"/>
    </row>
    <row r="318">
      <c r="A318" s="80"/>
      <c r="D318" s="80"/>
    </row>
    <row r="319">
      <c r="A319" s="80"/>
      <c r="D319" s="80"/>
    </row>
    <row r="320">
      <c r="A320" s="80"/>
      <c r="D320" s="80"/>
    </row>
    <row r="321">
      <c r="A321" s="80"/>
      <c r="D321" s="80"/>
    </row>
    <row r="322">
      <c r="A322" s="80"/>
      <c r="D322" s="80"/>
    </row>
    <row r="323">
      <c r="A323" s="80"/>
      <c r="D323" s="80"/>
    </row>
    <row r="324">
      <c r="A324" s="80"/>
      <c r="D324" s="80"/>
    </row>
    <row r="325">
      <c r="A325" s="80"/>
      <c r="D325" s="80"/>
    </row>
    <row r="326">
      <c r="A326" s="80"/>
      <c r="D326" s="80"/>
    </row>
    <row r="327">
      <c r="A327" s="80"/>
      <c r="D327" s="80"/>
    </row>
    <row r="328">
      <c r="A328" s="80"/>
      <c r="D328" s="80"/>
    </row>
    <row r="329">
      <c r="A329" s="80"/>
      <c r="D329" s="80"/>
    </row>
    <row r="330">
      <c r="A330" s="80"/>
      <c r="D330" s="80"/>
    </row>
    <row r="331">
      <c r="A331" s="80"/>
      <c r="D331" s="80"/>
    </row>
    <row r="332">
      <c r="A332" s="80"/>
      <c r="D332" s="80"/>
    </row>
    <row r="333">
      <c r="A333" s="80"/>
      <c r="D333" s="80"/>
    </row>
    <row r="334">
      <c r="A334" s="80"/>
      <c r="D334" s="80"/>
    </row>
    <row r="335">
      <c r="A335" s="80"/>
      <c r="D335" s="80"/>
    </row>
    <row r="336">
      <c r="A336" s="80"/>
      <c r="D336" s="80"/>
    </row>
    <row r="337">
      <c r="A337" s="80"/>
      <c r="D337" s="80"/>
    </row>
    <row r="338">
      <c r="A338" s="80"/>
      <c r="D338" s="80"/>
    </row>
    <row r="339">
      <c r="A339" s="80"/>
      <c r="D339" s="80"/>
    </row>
    <row r="340">
      <c r="A340" s="80"/>
      <c r="D340" s="80"/>
    </row>
    <row r="341">
      <c r="A341" s="80"/>
      <c r="D341" s="80"/>
    </row>
    <row r="342">
      <c r="A342" s="80"/>
      <c r="D342" s="80"/>
    </row>
    <row r="343">
      <c r="A343" s="80"/>
      <c r="D343" s="80"/>
    </row>
    <row r="344">
      <c r="A344" s="80"/>
      <c r="D344" s="80"/>
    </row>
    <row r="345">
      <c r="A345" s="80"/>
      <c r="D345" s="80"/>
    </row>
    <row r="346">
      <c r="A346" s="80"/>
      <c r="D346" s="80"/>
    </row>
    <row r="347">
      <c r="A347" s="80"/>
      <c r="D347" s="80"/>
    </row>
    <row r="348">
      <c r="A348" s="80"/>
      <c r="D348" s="80"/>
    </row>
    <row r="349">
      <c r="A349" s="80"/>
      <c r="D349" s="80"/>
    </row>
    <row r="350">
      <c r="A350" s="80"/>
      <c r="D350" s="80"/>
    </row>
    <row r="351">
      <c r="A351" s="80"/>
      <c r="D351" s="80"/>
    </row>
    <row r="352">
      <c r="A352" s="80"/>
      <c r="D352" s="80"/>
    </row>
    <row r="353">
      <c r="A353" s="80"/>
      <c r="D353" s="80"/>
    </row>
    <row r="354">
      <c r="A354" s="80"/>
      <c r="D354" s="80"/>
    </row>
    <row r="355">
      <c r="A355" s="80"/>
      <c r="D355" s="80"/>
    </row>
    <row r="356">
      <c r="A356" s="80"/>
      <c r="D356" s="80"/>
    </row>
    <row r="357">
      <c r="A357" s="80"/>
      <c r="D357" s="80"/>
    </row>
    <row r="358">
      <c r="A358" s="80"/>
      <c r="D358" s="80"/>
    </row>
    <row r="359">
      <c r="A359" s="80"/>
      <c r="D359" s="80"/>
    </row>
    <row r="360">
      <c r="A360" s="80"/>
      <c r="D360" s="80"/>
    </row>
    <row r="361">
      <c r="A361" s="80"/>
      <c r="D361" s="80"/>
    </row>
    <row r="362">
      <c r="A362" s="80"/>
      <c r="D362" s="80"/>
    </row>
    <row r="363">
      <c r="A363" s="80"/>
      <c r="D363" s="80"/>
    </row>
    <row r="364">
      <c r="A364" s="80"/>
      <c r="D364" s="80"/>
    </row>
    <row r="365">
      <c r="A365" s="80"/>
      <c r="D365" s="80"/>
    </row>
    <row r="366">
      <c r="A366" s="80"/>
      <c r="D366" s="80"/>
    </row>
    <row r="367">
      <c r="A367" s="80"/>
      <c r="D367" s="80"/>
    </row>
    <row r="368">
      <c r="A368" s="80"/>
      <c r="D368" s="80"/>
    </row>
    <row r="369">
      <c r="A369" s="80"/>
      <c r="D369" s="80"/>
    </row>
    <row r="370">
      <c r="A370" s="80"/>
      <c r="D370" s="80"/>
    </row>
    <row r="371">
      <c r="A371" s="80"/>
      <c r="D371" s="80"/>
    </row>
    <row r="372">
      <c r="A372" s="80"/>
      <c r="D372" s="80"/>
    </row>
    <row r="373">
      <c r="A373" s="80"/>
      <c r="D373" s="80"/>
    </row>
    <row r="374">
      <c r="A374" s="80"/>
      <c r="D374" s="80"/>
    </row>
    <row r="375">
      <c r="A375" s="80"/>
      <c r="D375" s="80"/>
    </row>
    <row r="376">
      <c r="A376" s="80"/>
      <c r="D376" s="80"/>
    </row>
    <row r="377">
      <c r="A377" s="80"/>
      <c r="D377" s="80"/>
    </row>
    <row r="378">
      <c r="A378" s="80"/>
      <c r="D378" s="80"/>
    </row>
    <row r="379">
      <c r="A379" s="80"/>
      <c r="D379" s="80"/>
    </row>
    <row r="380">
      <c r="A380" s="80"/>
      <c r="D380" s="80"/>
    </row>
    <row r="381">
      <c r="A381" s="80"/>
      <c r="D381" s="80"/>
    </row>
    <row r="382">
      <c r="A382" s="80"/>
      <c r="D382" s="80"/>
    </row>
    <row r="383">
      <c r="A383" s="80"/>
      <c r="D383" s="80"/>
    </row>
    <row r="384">
      <c r="A384" s="80"/>
      <c r="D384" s="80"/>
    </row>
    <row r="385">
      <c r="A385" s="80"/>
      <c r="D385" s="80"/>
    </row>
    <row r="386">
      <c r="A386" s="80"/>
      <c r="D386" s="80"/>
    </row>
    <row r="387">
      <c r="A387" s="80"/>
      <c r="D387" s="80"/>
    </row>
    <row r="388">
      <c r="A388" s="80"/>
      <c r="D388" s="80"/>
    </row>
    <row r="389">
      <c r="A389" s="80"/>
      <c r="D389" s="80"/>
    </row>
    <row r="390">
      <c r="A390" s="80"/>
      <c r="D390" s="80"/>
    </row>
    <row r="391">
      <c r="A391" s="80"/>
      <c r="D391" s="80"/>
    </row>
    <row r="392">
      <c r="A392" s="80"/>
      <c r="D392" s="80"/>
    </row>
    <row r="393">
      <c r="A393" s="80"/>
      <c r="D393" s="80"/>
    </row>
    <row r="394">
      <c r="A394" s="80"/>
      <c r="D394" s="80"/>
    </row>
    <row r="395">
      <c r="A395" s="80"/>
      <c r="D395" s="80"/>
    </row>
    <row r="396">
      <c r="A396" s="80"/>
      <c r="D396" s="80"/>
    </row>
    <row r="397">
      <c r="A397" s="80"/>
      <c r="D397" s="80"/>
    </row>
    <row r="398">
      <c r="A398" s="80"/>
      <c r="D398" s="80"/>
    </row>
    <row r="399">
      <c r="A399" s="80"/>
      <c r="D399" s="80"/>
    </row>
    <row r="400">
      <c r="A400" s="80"/>
      <c r="D400" s="80"/>
    </row>
    <row r="401">
      <c r="A401" s="80"/>
      <c r="D401" s="80"/>
    </row>
    <row r="402">
      <c r="A402" s="80"/>
      <c r="D402" s="80"/>
    </row>
    <row r="403">
      <c r="A403" s="80"/>
      <c r="D403" s="80"/>
    </row>
    <row r="404">
      <c r="A404" s="80"/>
      <c r="D404" s="80"/>
    </row>
    <row r="405">
      <c r="A405" s="80"/>
      <c r="D405" s="80"/>
    </row>
    <row r="406">
      <c r="A406" s="80"/>
      <c r="D406" s="80"/>
    </row>
    <row r="407">
      <c r="A407" s="80"/>
      <c r="D407" s="80"/>
    </row>
    <row r="408">
      <c r="A408" s="80"/>
      <c r="D408" s="80"/>
    </row>
    <row r="409">
      <c r="A409" s="80"/>
      <c r="D409" s="80"/>
    </row>
    <row r="410">
      <c r="A410" s="80"/>
      <c r="D410" s="80"/>
    </row>
    <row r="411">
      <c r="A411" s="80"/>
      <c r="D411" s="80"/>
    </row>
    <row r="412">
      <c r="A412" s="80"/>
      <c r="D412" s="80"/>
    </row>
    <row r="413">
      <c r="A413" s="80"/>
      <c r="D413" s="80"/>
    </row>
    <row r="414">
      <c r="A414" s="80"/>
      <c r="D414" s="80"/>
    </row>
    <row r="415">
      <c r="A415" s="80"/>
      <c r="D415" s="80"/>
    </row>
    <row r="416">
      <c r="A416" s="80"/>
      <c r="D416" s="80"/>
    </row>
    <row r="417">
      <c r="A417" s="80"/>
      <c r="D417" s="80"/>
    </row>
    <row r="418">
      <c r="A418" s="80"/>
      <c r="D418" s="80"/>
    </row>
    <row r="419">
      <c r="A419" s="80"/>
      <c r="D419" s="80"/>
    </row>
    <row r="420">
      <c r="A420" s="80"/>
      <c r="D420" s="80"/>
    </row>
    <row r="421">
      <c r="A421" s="80"/>
      <c r="D421" s="80"/>
    </row>
    <row r="422">
      <c r="A422" s="80"/>
      <c r="D422" s="80"/>
    </row>
    <row r="423">
      <c r="A423" s="80"/>
      <c r="D423" s="80"/>
    </row>
    <row r="424">
      <c r="A424" s="80"/>
      <c r="D424" s="80"/>
    </row>
    <row r="425">
      <c r="A425" s="80"/>
      <c r="D425" s="80"/>
    </row>
    <row r="426">
      <c r="A426" s="80"/>
      <c r="D426" s="80"/>
    </row>
    <row r="427">
      <c r="A427" s="80"/>
      <c r="D427" s="80"/>
    </row>
    <row r="428">
      <c r="A428" s="80"/>
      <c r="D428" s="80"/>
    </row>
    <row r="429">
      <c r="A429" s="80"/>
      <c r="D429" s="80"/>
    </row>
    <row r="430">
      <c r="A430" s="80"/>
      <c r="D430" s="80"/>
    </row>
    <row r="431">
      <c r="A431" s="80"/>
      <c r="D431" s="80"/>
    </row>
    <row r="432">
      <c r="A432" s="80"/>
      <c r="D432" s="80"/>
    </row>
    <row r="433">
      <c r="A433" s="80"/>
      <c r="D433" s="80"/>
    </row>
    <row r="434">
      <c r="A434" s="80"/>
      <c r="D434" s="80"/>
    </row>
    <row r="435">
      <c r="A435" s="80"/>
      <c r="D435" s="80"/>
    </row>
    <row r="436">
      <c r="A436" s="80"/>
      <c r="D436" s="80"/>
    </row>
    <row r="437">
      <c r="A437" s="80"/>
      <c r="D437" s="80"/>
    </row>
    <row r="438">
      <c r="A438" s="80"/>
      <c r="D438" s="80"/>
    </row>
    <row r="439">
      <c r="A439" s="80"/>
      <c r="D439" s="80"/>
    </row>
    <row r="440">
      <c r="A440" s="80"/>
      <c r="D440" s="80"/>
    </row>
    <row r="441">
      <c r="A441" s="80"/>
      <c r="D441" s="80"/>
    </row>
    <row r="442">
      <c r="A442" s="80"/>
      <c r="D442" s="80"/>
    </row>
    <row r="443">
      <c r="A443" s="80"/>
      <c r="D443" s="80"/>
    </row>
    <row r="444">
      <c r="A444" s="80"/>
      <c r="D444" s="80"/>
    </row>
    <row r="445">
      <c r="A445" s="80"/>
      <c r="D445" s="80"/>
    </row>
    <row r="446">
      <c r="A446" s="80"/>
      <c r="D446" s="80"/>
    </row>
    <row r="447">
      <c r="A447" s="80"/>
      <c r="D447" s="80"/>
    </row>
    <row r="448">
      <c r="A448" s="80"/>
      <c r="D448" s="80"/>
    </row>
    <row r="449">
      <c r="A449" s="80"/>
      <c r="D449" s="80"/>
    </row>
    <row r="450">
      <c r="A450" s="80"/>
      <c r="D450" s="80"/>
    </row>
    <row r="451">
      <c r="A451" s="80"/>
      <c r="D451" s="80"/>
    </row>
    <row r="452">
      <c r="A452" s="80"/>
      <c r="D452" s="80"/>
    </row>
    <row r="453">
      <c r="A453" s="80"/>
      <c r="D453" s="80"/>
    </row>
    <row r="454">
      <c r="A454" s="80"/>
      <c r="D454" s="80"/>
    </row>
    <row r="455">
      <c r="A455" s="80"/>
      <c r="D455" s="80"/>
    </row>
    <row r="456">
      <c r="A456" s="80"/>
      <c r="D456" s="80"/>
    </row>
    <row r="457">
      <c r="A457" s="80"/>
      <c r="D457" s="80"/>
    </row>
    <row r="458">
      <c r="A458" s="80"/>
      <c r="D458" s="80"/>
    </row>
    <row r="459">
      <c r="A459" s="80"/>
      <c r="D459" s="80"/>
    </row>
    <row r="460">
      <c r="A460" s="80"/>
      <c r="D460" s="80"/>
    </row>
    <row r="461">
      <c r="A461" s="80"/>
      <c r="D461" s="80"/>
    </row>
    <row r="462">
      <c r="A462" s="80"/>
      <c r="D462" s="80"/>
    </row>
    <row r="463">
      <c r="A463" s="80"/>
      <c r="D463" s="80"/>
    </row>
    <row r="464">
      <c r="A464" s="80"/>
      <c r="D464" s="80"/>
    </row>
    <row r="465">
      <c r="A465" s="80"/>
      <c r="D465" s="80"/>
    </row>
    <row r="466">
      <c r="A466" s="80"/>
      <c r="D466" s="80"/>
    </row>
    <row r="467">
      <c r="A467" s="80"/>
      <c r="D467" s="80"/>
    </row>
    <row r="468">
      <c r="A468" s="80"/>
      <c r="D468" s="80"/>
    </row>
    <row r="469">
      <c r="A469" s="80"/>
      <c r="D469" s="80"/>
    </row>
    <row r="470">
      <c r="A470" s="80"/>
      <c r="D470" s="80"/>
    </row>
    <row r="471">
      <c r="A471" s="80"/>
      <c r="D471" s="80"/>
    </row>
    <row r="472">
      <c r="A472" s="80"/>
      <c r="D472" s="80"/>
    </row>
    <row r="473">
      <c r="A473" s="80"/>
      <c r="D473" s="80"/>
    </row>
    <row r="474">
      <c r="A474" s="80"/>
      <c r="D474" s="80"/>
    </row>
    <row r="475">
      <c r="A475" s="80"/>
      <c r="D475" s="80"/>
    </row>
    <row r="476">
      <c r="A476" s="80"/>
      <c r="D476" s="80"/>
    </row>
    <row r="477">
      <c r="A477" s="80"/>
      <c r="D477" s="80"/>
    </row>
    <row r="478">
      <c r="A478" s="80"/>
      <c r="D478" s="80"/>
    </row>
    <row r="479">
      <c r="A479" s="80"/>
      <c r="D479" s="80"/>
    </row>
    <row r="480">
      <c r="A480" s="80"/>
      <c r="D480" s="80"/>
    </row>
    <row r="481">
      <c r="A481" s="80"/>
      <c r="D481" s="80"/>
    </row>
    <row r="482">
      <c r="A482" s="80"/>
      <c r="D482" s="80"/>
    </row>
    <row r="483">
      <c r="A483" s="80"/>
      <c r="D483" s="80"/>
    </row>
    <row r="484">
      <c r="A484" s="80"/>
      <c r="D484" s="80"/>
    </row>
    <row r="485">
      <c r="A485" s="80"/>
      <c r="D485" s="80"/>
    </row>
    <row r="486">
      <c r="A486" s="80"/>
      <c r="D486" s="80"/>
    </row>
    <row r="487">
      <c r="A487" s="80"/>
      <c r="D487" s="80"/>
    </row>
    <row r="488">
      <c r="A488" s="80"/>
      <c r="D488" s="80"/>
    </row>
    <row r="489">
      <c r="A489" s="80"/>
      <c r="D489" s="80"/>
    </row>
    <row r="490">
      <c r="A490" s="80"/>
      <c r="D490" s="80"/>
    </row>
    <row r="491">
      <c r="A491" s="80"/>
      <c r="D491" s="80"/>
    </row>
    <row r="492">
      <c r="A492" s="80"/>
      <c r="D492" s="80"/>
    </row>
    <row r="493">
      <c r="A493" s="80"/>
      <c r="D493" s="80"/>
    </row>
    <row r="494">
      <c r="A494" s="80"/>
      <c r="D494" s="80"/>
    </row>
    <row r="495">
      <c r="A495" s="80"/>
      <c r="D495" s="80"/>
    </row>
    <row r="496">
      <c r="A496" s="80"/>
      <c r="D496" s="80"/>
    </row>
    <row r="497">
      <c r="A497" s="80"/>
      <c r="D497" s="80"/>
    </row>
    <row r="498">
      <c r="A498" s="80"/>
      <c r="D498" s="80"/>
    </row>
    <row r="499">
      <c r="A499" s="80"/>
      <c r="D499" s="80"/>
    </row>
    <row r="500">
      <c r="A500" s="80"/>
      <c r="D500" s="80"/>
    </row>
    <row r="501">
      <c r="A501" s="80"/>
      <c r="D501" s="80"/>
    </row>
    <row r="502">
      <c r="A502" s="80"/>
      <c r="D502" s="80"/>
    </row>
    <row r="503">
      <c r="A503" s="80"/>
      <c r="D503" s="80"/>
    </row>
    <row r="504">
      <c r="A504" s="80"/>
      <c r="D504" s="80"/>
    </row>
    <row r="505">
      <c r="A505" s="80"/>
      <c r="D505" s="80"/>
    </row>
    <row r="506">
      <c r="A506" s="80"/>
      <c r="D506" s="80"/>
    </row>
    <row r="507">
      <c r="A507" s="80"/>
      <c r="D507" s="80"/>
    </row>
    <row r="508">
      <c r="A508" s="80"/>
      <c r="D508" s="80"/>
    </row>
    <row r="509">
      <c r="A509" s="80"/>
      <c r="D509" s="80"/>
    </row>
    <row r="510">
      <c r="A510" s="80"/>
      <c r="D510" s="80"/>
    </row>
    <row r="511">
      <c r="A511" s="80"/>
      <c r="D511" s="80"/>
    </row>
    <row r="512">
      <c r="A512" s="80"/>
      <c r="D512" s="80"/>
    </row>
    <row r="513">
      <c r="A513" s="80"/>
      <c r="D513" s="80"/>
    </row>
    <row r="514">
      <c r="A514" s="80"/>
      <c r="D514" s="80"/>
    </row>
    <row r="515">
      <c r="A515" s="80"/>
      <c r="D515" s="80"/>
    </row>
    <row r="516">
      <c r="A516" s="80"/>
      <c r="D516" s="80"/>
    </row>
    <row r="517">
      <c r="A517" s="80"/>
      <c r="D517" s="80"/>
    </row>
    <row r="518">
      <c r="A518" s="80"/>
      <c r="D518" s="80"/>
    </row>
    <row r="519">
      <c r="A519" s="80"/>
      <c r="D519" s="80"/>
    </row>
    <row r="520">
      <c r="A520" s="80"/>
      <c r="D520" s="80"/>
    </row>
    <row r="521">
      <c r="A521" s="80"/>
      <c r="D521" s="80"/>
    </row>
    <row r="522">
      <c r="A522" s="80"/>
      <c r="D522" s="80"/>
    </row>
    <row r="523">
      <c r="A523" s="80"/>
      <c r="D523" s="80"/>
    </row>
    <row r="524">
      <c r="A524" s="80"/>
      <c r="D524" s="80"/>
    </row>
    <row r="525">
      <c r="A525" s="80"/>
      <c r="D525" s="80"/>
    </row>
    <row r="526">
      <c r="A526" s="80"/>
      <c r="D526" s="80"/>
    </row>
    <row r="527">
      <c r="A527" s="80"/>
      <c r="D527" s="80"/>
    </row>
    <row r="528">
      <c r="A528" s="80"/>
      <c r="D528" s="80"/>
    </row>
    <row r="529">
      <c r="A529" s="80"/>
      <c r="D529" s="80"/>
    </row>
    <row r="530">
      <c r="A530" s="80"/>
      <c r="D530" s="80"/>
    </row>
    <row r="531">
      <c r="A531" s="80"/>
      <c r="D531" s="80"/>
    </row>
    <row r="532">
      <c r="A532" s="80"/>
      <c r="D532" s="80"/>
    </row>
    <row r="533">
      <c r="A533" s="80"/>
      <c r="D533" s="80"/>
    </row>
    <row r="534">
      <c r="A534" s="80"/>
      <c r="D534" s="80"/>
    </row>
    <row r="535">
      <c r="A535" s="80"/>
      <c r="D535" s="80"/>
    </row>
    <row r="536">
      <c r="A536" s="80"/>
      <c r="D536" s="80"/>
    </row>
    <row r="537">
      <c r="A537" s="80"/>
      <c r="D537" s="80"/>
    </row>
    <row r="538">
      <c r="A538" s="80"/>
      <c r="D538" s="80"/>
    </row>
    <row r="539">
      <c r="A539" s="80"/>
      <c r="D539" s="80"/>
    </row>
    <row r="540">
      <c r="A540" s="80"/>
      <c r="D540" s="80"/>
    </row>
    <row r="541">
      <c r="A541" s="80"/>
      <c r="D541" s="80"/>
    </row>
    <row r="542">
      <c r="A542" s="80"/>
      <c r="D542" s="80"/>
    </row>
    <row r="543">
      <c r="A543" s="80"/>
      <c r="D543" s="80"/>
    </row>
    <row r="544">
      <c r="A544" s="80"/>
      <c r="D544" s="80"/>
    </row>
    <row r="545">
      <c r="A545" s="80"/>
      <c r="D545" s="80"/>
    </row>
    <row r="546">
      <c r="A546" s="80"/>
      <c r="D546" s="80"/>
    </row>
    <row r="547">
      <c r="A547" s="80"/>
      <c r="D547" s="80"/>
    </row>
    <row r="548">
      <c r="A548" s="80"/>
      <c r="D548" s="80"/>
    </row>
    <row r="549">
      <c r="A549" s="80"/>
      <c r="D549" s="80"/>
    </row>
    <row r="550">
      <c r="A550" s="80"/>
      <c r="D550" s="80"/>
    </row>
    <row r="551">
      <c r="A551" s="80"/>
      <c r="D551" s="80"/>
    </row>
    <row r="552">
      <c r="A552" s="80"/>
      <c r="D552" s="80"/>
    </row>
    <row r="553">
      <c r="A553" s="80"/>
      <c r="D553" s="80"/>
    </row>
    <row r="554">
      <c r="A554" s="80"/>
      <c r="D554" s="80"/>
    </row>
    <row r="555">
      <c r="A555" s="80"/>
      <c r="D555" s="80"/>
    </row>
    <row r="556">
      <c r="A556" s="80"/>
      <c r="D556" s="80"/>
    </row>
    <row r="557">
      <c r="A557" s="80"/>
      <c r="D557" s="80"/>
    </row>
    <row r="558">
      <c r="A558" s="80"/>
      <c r="D558" s="80"/>
    </row>
    <row r="559">
      <c r="A559" s="80"/>
      <c r="D559" s="80"/>
    </row>
    <row r="560">
      <c r="A560" s="80"/>
      <c r="D560" s="80"/>
    </row>
    <row r="561">
      <c r="A561" s="80"/>
      <c r="D561" s="80"/>
    </row>
    <row r="562">
      <c r="A562" s="80"/>
      <c r="D562" s="80"/>
    </row>
    <row r="563">
      <c r="A563" s="80"/>
      <c r="D563" s="80"/>
    </row>
    <row r="564">
      <c r="A564" s="80"/>
      <c r="D564" s="80"/>
    </row>
    <row r="565">
      <c r="A565" s="80"/>
      <c r="D565" s="80"/>
    </row>
    <row r="566">
      <c r="A566" s="80"/>
      <c r="D566" s="80"/>
    </row>
    <row r="567">
      <c r="A567" s="80"/>
      <c r="D567" s="80"/>
    </row>
    <row r="568">
      <c r="A568" s="80"/>
      <c r="D568" s="80"/>
    </row>
    <row r="569">
      <c r="A569" s="80"/>
      <c r="D569" s="80"/>
    </row>
    <row r="570">
      <c r="A570" s="80"/>
      <c r="D570" s="80"/>
    </row>
    <row r="571">
      <c r="A571" s="80"/>
      <c r="D571" s="80"/>
    </row>
    <row r="572">
      <c r="A572" s="80"/>
      <c r="D572" s="80"/>
    </row>
    <row r="573">
      <c r="A573" s="80"/>
      <c r="D573" s="80"/>
    </row>
    <row r="574">
      <c r="A574" s="80"/>
      <c r="D574" s="80"/>
    </row>
    <row r="575">
      <c r="A575" s="80"/>
      <c r="D575" s="80"/>
    </row>
    <row r="576">
      <c r="A576" s="80"/>
      <c r="D576" s="80"/>
    </row>
    <row r="577">
      <c r="A577" s="80"/>
      <c r="D577" s="80"/>
    </row>
    <row r="578">
      <c r="A578" s="80"/>
      <c r="D578" s="80"/>
    </row>
    <row r="579">
      <c r="A579" s="80"/>
      <c r="D579" s="80"/>
    </row>
    <row r="580">
      <c r="A580" s="80"/>
      <c r="D580" s="80"/>
    </row>
    <row r="581">
      <c r="A581" s="80"/>
      <c r="D581" s="80"/>
    </row>
    <row r="582">
      <c r="A582" s="80"/>
      <c r="D582" s="80"/>
    </row>
    <row r="583">
      <c r="A583" s="80"/>
      <c r="D583" s="80"/>
    </row>
    <row r="584">
      <c r="A584" s="80"/>
      <c r="D584" s="80"/>
    </row>
    <row r="585">
      <c r="A585" s="80"/>
      <c r="D585" s="80"/>
    </row>
    <row r="586">
      <c r="A586" s="80"/>
      <c r="D586" s="80"/>
    </row>
    <row r="587">
      <c r="A587" s="80"/>
      <c r="D587" s="80"/>
    </row>
    <row r="588">
      <c r="A588" s="80"/>
      <c r="D588" s="80"/>
    </row>
    <row r="589">
      <c r="A589" s="80"/>
      <c r="D589" s="80"/>
    </row>
    <row r="590">
      <c r="A590" s="80"/>
      <c r="D590" s="80"/>
    </row>
    <row r="591">
      <c r="A591" s="80"/>
      <c r="D591" s="80"/>
    </row>
    <row r="592">
      <c r="A592" s="80"/>
      <c r="D592" s="80"/>
    </row>
    <row r="593">
      <c r="A593" s="80"/>
      <c r="D593" s="80"/>
    </row>
    <row r="594">
      <c r="A594" s="80"/>
      <c r="D594" s="80"/>
    </row>
    <row r="595">
      <c r="A595" s="80"/>
      <c r="D595" s="80"/>
    </row>
    <row r="596">
      <c r="A596" s="80"/>
      <c r="D596" s="80"/>
    </row>
    <row r="597">
      <c r="A597" s="80"/>
      <c r="D597" s="80"/>
    </row>
    <row r="598">
      <c r="A598" s="80"/>
      <c r="D598" s="80"/>
    </row>
    <row r="599">
      <c r="A599" s="80"/>
      <c r="D599" s="80"/>
    </row>
    <row r="600">
      <c r="A600" s="80"/>
      <c r="D600" s="80"/>
    </row>
    <row r="601">
      <c r="A601" s="80"/>
      <c r="D601" s="80"/>
    </row>
    <row r="602">
      <c r="A602" s="80"/>
      <c r="D602" s="80"/>
    </row>
    <row r="603">
      <c r="A603" s="80"/>
      <c r="D603" s="80"/>
    </row>
    <row r="604">
      <c r="A604" s="80"/>
      <c r="D604" s="80"/>
    </row>
    <row r="605">
      <c r="A605" s="80"/>
      <c r="D605" s="80"/>
    </row>
    <row r="606">
      <c r="A606" s="80"/>
      <c r="D606" s="80"/>
    </row>
    <row r="607">
      <c r="A607" s="80"/>
      <c r="D607" s="80"/>
    </row>
    <row r="608">
      <c r="A608" s="80"/>
      <c r="D608" s="80"/>
    </row>
    <row r="609">
      <c r="A609" s="80"/>
      <c r="D609" s="80"/>
    </row>
    <row r="610">
      <c r="A610" s="80"/>
      <c r="D610" s="80"/>
    </row>
    <row r="611">
      <c r="A611" s="80"/>
      <c r="D611" s="80"/>
    </row>
    <row r="612">
      <c r="A612" s="80"/>
      <c r="D612" s="80"/>
    </row>
    <row r="613">
      <c r="A613" s="80"/>
      <c r="D613" s="80"/>
    </row>
    <row r="614">
      <c r="A614" s="80"/>
      <c r="D614" s="80"/>
    </row>
    <row r="615">
      <c r="A615" s="80"/>
      <c r="D615" s="80"/>
    </row>
    <row r="616">
      <c r="A616" s="80"/>
      <c r="D616" s="80"/>
    </row>
    <row r="617">
      <c r="A617" s="80"/>
      <c r="D617" s="80"/>
    </row>
    <row r="618">
      <c r="A618" s="80"/>
      <c r="D618" s="80"/>
    </row>
    <row r="619">
      <c r="A619" s="80"/>
      <c r="D619" s="80"/>
    </row>
    <row r="620">
      <c r="A620" s="80"/>
      <c r="D620" s="80"/>
    </row>
    <row r="621">
      <c r="A621" s="80"/>
      <c r="D621" s="80"/>
    </row>
    <row r="622">
      <c r="A622" s="80"/>
      <c r="D622" s="80"/>
    </row>
    <row r="623">
      <c r="A623" s="80"/>
      <c r="D623" s="80"/>
    </row>
    <row r="624">
      <c r="A624" s="80"/>
      <c r="D624" s="80"/>
    </row>
    <row r="625">
      <c r="A625" s="80"/>
      <c r="D625" s="80"/>
    </row>
    <row r="626">
      <c r="A626" s="80"/>
      <c r="D626" s="80"/>
    </row>
    <row r="627">
      <c r="A627" s="80"/>
      <c r="D627" s="80"/>
    </row>
    <row r="628">
      <c r="A628" s="80"/>
      <c r="D628" s="80"/>
    </row>
    <row r="629">
      <c r="A629" s="80"/>
      <c r="D629" s="80"/>
    </row>
    <row r="630">
      <c r="A630" s="80"/>
      <c r="D630" s="80"/>
    </row>
    <row r="631">
      <c r="A631" s="80"/>
      <c r="D631" s="80"/>
    </row>
    <row r="632">
      <c r="A632" s="80"/>
      <c r="D632" s="80"/>
    </row>
    <row r="633">
      <c r="A633" s="80"/>
      <c r="D633" s="80"/>
    </row>
    <row r="634">
      <c r="A634" s="80"/>
      <c r="D634" s="80"/>
    </row>
    <row r="635">
      <c r="A635" s="80"/>
      <c r="D635" s="80"/>
    </row>
    <row r="636">
      <c r="A636" s="80"/>
      <c r="D636" s="80"/>
    </row>
    <row r="637">
      <c r="A637" s="80"/>
      <c r="D637" s="80"/>
    </row>
    <row r="638">
      <c r="A638" s="80"/>
      <c r="D638" s="80"/>
    </row>
    <row r="639">
      <c r="A639" s="80"/>
      <c r="D639" s="80"/>
    </row>
    <row r="640">
      <c r="A640" s="80"/>
      <c r="D640" s="80"/>
    </row>
    <row r="641">
      <c r="A641" s="80"/>
      <c r="D641" s="80"/>
    </row>
    <row r="642">
      <c r="A642" s="80"/>
      <c r="D642" s="80"/>
    </row>
    <row r="643">
      <c r="A643" s="80"/>
      <c r="D643" s="80"/>
    </row>
    <row r="644">
      <c r="A644" s="80"/>
      <c r="D644" s="80"/>
    </row>
    <row r="645">
      <c r="A645" s="80"/>
      <c r="D645" s="80"/>
    </row>
    <row r="646">
      <c r="A646" s="80"/>
      <c r="D646" s="80"/>
    </row>
    <row r="647">
      <c r="A647" s="80"/>
      <c r="D647" s="80"/>
    </row>
    <row r="648">
      <c r="A648" s="80"/>
      <c r="D648" s="80"/>
    </row>
    <row r="649">
      <c r="A649" s="80"/>
      <c r="D649" s="80"/>
    </row>
    <row r="650">
      <c r="A650" s="80"/>
      <c r="D650" s="80"/>
    </row>
    <row r="651">
      <c r="A651" s="80"/>
      <c r="D651" s="80"/>
    </row>
    <row r="652">
      <c r="A652" s="80"/>
      <c r="D652" s="80"/>
    </row>
    <row r="653">
      <c r="A653" s="80"/>
      <c r="D653" s="80"/>
    </row>
    <row r="654">
      <c r="A654" s="80"/>
      <c r="D654" s="80"/>
    </row>
    <row r="655">
      <c r="A655" s="80"/>
      <c r="D655" s="80"/>
    </row>
    <row r="656">
      <c r="A656" s="80"/>
      <c r="D656" s="80"/>
    </row>
    <row r="657">
      <c r="A657" s="80"/>
      <c r="D657" s="80"/>
    </row>
    <row r="658">
      <c r="A658" s="80"/>
      <c r="D658" s="80"/>
    </row>
    <row r="659">
      <c r="A659" s="80"/>
      <c r="D659" s="80"/>
    </row>
    <row r="660">
      <c r="A660" s="80"/>
      <c r="D660" s="80"/>
    </row>
    <row r="661">
      <c r="A661" s="80"/>
      <c r="D661" s="80"/>
    </row>
    <row r="662">
      <c r="A662" s="80"/>
      <c r="D662" s="80"/>
    </row>
    <row r="663">
      <c r="A663" s="80"/>
      <c r="D663" s="80"/>
    </row>
    <row r="664">
      <c r="A664" s="80"/>
      <c r="D664" s="80"/>
    </row>
    <row r="665">
      <c r="A665" s="80"/>
      <c r="D665" s="80"/>
    </row>
    <row r="666">
      <c r="A666" s="80"/>
      <c r="D666" s="80"/>
    </row>
    <row r="667">
      <c r="A667" s="80"/>
      <c r="D667" s="80"/>
    </row>
    <row r="668">
      <c r="A668" s="80"/>
      <c r="D668" s="80"/>
    </row>
    <row r="669">
      <c r="A669" s="80"/>
      <c r="D669" s="80"/>
    </row>
    <row r="670">
      <c r="A670" s="80"/>
      <c r="D670" s="80"/>
    </row>
    <row r="671">
      <c r="A671" s="80"/>
      <c r="D671" s="80"/>
    </row>
    <row r="672">
      <c r="A672" s="80"/>
      <c r="D672" s="80"/>
    </row>
    <row r="673">
      <c r="A673" s="80"/>
      <c r="D673" s="80"/>
    </row>
    <row r="674">
      <c r="A674" s="80"/>
      <c r="D674" s="80"/>
    </row>
    <row r="675">
      <c r="A675" s="80"/>
      <c r="D675" s="80"/>
    </row>
    <row r="676">
      <c r="A676" s="80"/>
      <c r="D676" s="80"/>
    </row>
    <row r="677">
      <c r="A677" s="80"/>
      <c r="D677" s="80"/>
    </row>
    <row r="678">
      <c r="A678" s="80"/>
      <c r="D678" s="80"/>
    </row>
    <row r="679">
      <c r="A679" s="80"/>
      <c r="D679" s="80"/>
    </row>
    <row r="680">
      <c r="A680" s="80"/>
      <c r="D680" s="80"/>
    </row>
    <row r="681">
      <c r="A681" s="80"/>
      <c r="D681" s="80"/>
    </row>
    <row r="682">
      <c r="A682" s="80"/>
      <c r="D682" s="80"/>
    </row>
    <row r="683">
      <c r="A683" s="80"/>
      <c r="D683" s="80"/>
    </row>
    <row r="684">
      <c r="A684" s="80"/>
      <c r="D684" s="80"/>
    </row>
    <row r="685">
      <c r="A685" s="80"/>
      <c r="D685" s="80"/>
    </row>
    <row r="686">
      <c r="A686" s="80"/>
      <c r="D686" s="80"/>
    </row>
    <row r="687">
      <c r="A687" s="80"/>
      <c r="D687" s="80"/>
    </row>
    <row r="688">
      <c r="A688" s="80"/>
      <c r="D688" s="80"/>
    </row>
    <row r="689">
      <c r="A689" s="80"/>
      <c r="D689" s="80"/>
    </row>
    <row r="690">
      <c r="A690" s="80"/>
      <c r="D690" s="80"/>
    </row>
    <row r="691">
      <c r="A691" s="80"/>
      <c r="D691" s="80"/>
    </row>
    <row r="692">
      <c r="A692" s="80"/>
      <c r="D692" s="80"/>
    </row>
    <row r="693">
      <c r="A693" s="80"/>
      <c r="D693" s="80"/>
    </row>
    <row r="694">
      <c r="A694" s="80"/>
      <c r="D694" s="80"/>
    </row>
    <row r="695">
      <c r="A695" s="80"/>
      <c r="D695" s="80"/>
    </row>
    <row r="696">
      <c r="A696" s="80"/>
      <c r="D696" s="80"/>
    </row>
    <row r="697">
      <c r="A697" s="80"/>
      <c r="D697" s="80"/>
    </row>
    <row r="698">
      <c r="A698" s="80"/>
      <c r="D698" s="80"/>
    </row>
    <row r="699">
      <c r="A699" s="80"/>
      <c r="D699" s="80"/>
    </row>
    <row r="700">
      <c r="A700" s="80"/>
      <c r="D700" s="80"/>
    </row>
    <row r="701">
      <c r="A701" s="80"/>
      <c r="D701" s="80"/>
    </row>
    <row r="702">
      <c r="A702" s="80"/>
      <c r="D702" s="80"/>
    </row>
    <row r="703">
      <c r="A703" s="80"/>
      <c r="D703" s="80"/>
    </row>
    <row r="704">
      <c r="A704" s="80"/>
      <c r="D704" s="80"/>
    </row>
    <row r="705">
      <c r="A705" s="80"/>
      <c r="D705" s="80"/>
    </row>
    <row r="706">
      <c r="A706" s="80"/>
      <c r="D706" s="80"/>
    </row>
    <row r="707">
      <c r="A707" s="80"/>
      <c r="D707" s="80"/>
    </row>
    <row r="708">
      <c r="A708" s="80"/>
      <c r="D708" s="80"/>
    </row>
    <row r="709">
      <c r="A709" s="80"/>
      <c r="D709" s="80"/>
    </row>
    <row r="710">
      <c r="A710" s="80"/>
      <c r="D710" s="80"/>
    </row>
    <row r="711">
      <c r="A711" s="80"/>
      <c r="D711" s="80"/>
    </row>
    <row r="712">
      <c r="A712" s="80"/>
      <c r="D712" s="80"/>
    </row>
    <row r="713">
      <c r="A713" s="80"/>
      <c r="D713" s="80"/>
    </row>
    <row r="714">
      <c r="A714" s="80"/>
      <c r="D714" s="80"/>
    </row>
    <row r="715">
      <c r="A715" s="80"/>
      <c r="D715" s="80"/>
    </row>
    <row r="716">
      <c r="A716" s="80"/>
      <c r="D716" s="80"/>
    </row>
    <row r="717">
      <c r="A717" s="80"/>
      <c r="D717" s="80"/>
    </row>
    <row r="718">
      <c r="A718" s="80"/>
      <c r="D718" s="80"/>
    </row>
    <row r="719">
      <c r="A719" s="80"/>
      <c r="D719" s="80"/>
    </row>
    <row r="720">
      <c r="A720" s="80"/>
      <c r="D720" s="80"/>
    </row>
    <row r="721">
      <c r="A721" s="80"/>
      <c r="D721" s="80"/>
    </row>
    <row r="722">
      <c r="A722" s="80"/>
      <c r="D722" s="80"/>
    </row>
    <row r="723">
      <c r="A723" s="80"/>
      <c r="D723" s="80"/>
    </row>
    <row r="724">
      <c r="A724" s="80"/>
      <c r="D724" s="80"/>
    </row>
    <row r="725">
      <c r="A725" s="80"/>
      <c r="D725" s="80"/>
    </row>
    <row r="726">
      <c r="A726" s="80"/>
      <c r="D726" s="80"/>
    </row>
    <row r="727">
      <c r="A727" s="80"/>
      <c r="D727" s="80"/>
    </row>
    <row r="728">
      <c r="A728" s="80"/>
      <c r="D728" s="80"/>
    </row>
    <row r="729">
      <c r="A729" s="80"/>
      <c r="D729" s="80"/>
    </row>
    <row r="730">
      <c r="A730" s="80"/>
      <c r="D730" s="80"/>
    </row>
    <row r="731">
      <c r="A731" s="80"/>
      <c r="D731" s="80"/>
    </row>
    <row r="732">
      <c r="A732" s="80"/>
      <c r="D732" s="80"/>
    </row>
    <row r="733">
      <c r="A733" s="80"/>
      <c r="D733" s="80"/>
    </row>
    <row r="734">
      <c r="A734" s="80"/>
      <c r="D734" s="80"/>
    </row>
    <row r="735">
      <c r="A735" s="80"/>
      <c r="D735" s="80"/>
    </row>
    <row r="736">
      <c r="A736" s="80"/>
      <c r="D736" s="80"/>
    </row>
    <row r="737">
      <c r="A737" s="80"/>
      <c r="D737" s="80"/>
    </row>
    <row r="738">
      <c r="A738" s="80"/>
      <c r="D738" s="80"/>
    </row>
    <row r="739">
      <c r="A739" s="80"/>
      <c r="D739" s="80"/>
    </row>
    <row r="740">
      <c r="A740" s="80"/>
      <c r="D740" s="80"/>
    </row>
    <row r="741">
      <c r="A741" s="80"/>
      <c r="D741" s="80"/>
    </row>
    <row r="742">
      <c r="A742" s="80"/>
      <c r="D742" s="80"/>
    </row>
    <row r="743">
      <c r="A743" s="80"/>
      <c r="D743" s="80"/>
    </row>
    <row r="744">
      <c r="A744" s="80"/>
      <c r="D744" s="80"/>
    </row>
    <row r="745">
      <c r="A745" s="80"/>
      <c r="D745" s="80"/>
    </row>
    <row r="746">
      <c r="A746" s="80"/>
      <c r="D746" s="80"/>
    </row>
    <row r="747">
      <c r="A747" s="80"/>
      <c r="D747" s="80"/>
    </row>
    <row r="748">
      <c r="A748" s="80"/>
      <c r="D748" s="80"/>
    </row>
    <row r="749">
      <c r="A749" s="80"/>
      <c r="D749" s="80"/>
    </row>
    <row r="750">
      <c r="A750" s="80"/>
      <c r="D750" s="80"/>
    </row>
    <row r="751">
      <c r="A751" s="80"/>
      <c r="D751" s="80"/>
    </row>
    <row r="752">
      <c r="A752" s="80"/>
      <c r="D752" s="80"/>
    </row>
    <row r="753">
      <c r="A753" s="80"/>
      <c r="D753" s="80"/>
    </row>
    <row r="754">
      <c r="A754" s="80"/>
      <c r="D754" s="80"/>
    </row>
    <row r="755">
      <c r="A755" s="80"/>
      <c r="D755" s="80"/>
    </row>
    <row r="756">
      <c r="A756" s="80"/>
      <c r="D756" s="80"/>
    </row>
    <row r="757">
      <c r="A757" s="80"/>
      <c r="D757" s="80"/>
    </row>
    <row r="758">
      <c r="A758" s="80"/>
      <c r="D758" s="80"/>
    </row>
    <row r="759">
      <c r="A759" s="80"/>
      <c r="D759" s="80"/>
    </row>
    <row r="760">
      <c r="A760" s="80"/>
      <c r="D760" s="80"/>
    </row>
    <row r="761">
      <c r="A761" s="80"/>
      <c r="D761" s="80"/>
    </row>
    <row r="762">
      <c r="A762" s="80"/>
      <c r="D762" s="80"/>
    </row>
    <row r="763">
      <c r="A763" s="80"/>
      <c r="D763" s="80"/>
    </row>
    <row r="764">
      <c r="A764" s="80"/>
      <c r="D764" s="80"/>
    </row>
    <row r="765">
      <c r="A765" s="80"/>
      <c r="D765" s="80"/>
    </row>
    <row r="766">
      <c r="A766" s="80"/>
      <c r="D766" s="80"/>
    </row>
    <row r="767">
      <c r="A767" s="80"/>
      <c r="D767" s="80"/>
    </row>
    <row r="768">
      <c r="A768" s="80"/>
      <c r="D768" s="80"/>
    </row>
    <row r="769">
      <c r="A769" s="80"/>
      <c r="D769" s="80"/>
    </row>
    <row r="770">
      <c r="A770" s="80"/>
      <c r="D770" s="80"/>
    </row>
    <row r="771">
      <c r="A771" s="80"/>
      <c r="D771" s="80"/>
    </row>
    <row r="772">
      <c r="A772" s="80"/>
      <c r="D772" s="80"/>
    </row>
    <row r="773">
      <c r="A773" s="80"/>
      <c r="D773" s="80"/>
    </row>
    <row r="774">
      <c r="A774" s="80"/>
      <c r="D774" s="80"/>
    </row>
    <row r="775">
      <c r="A775" s="80"/>
      <c r="D775" s="80"/>
    </row>
    <row r="776">
      <c r="A776" s="80"/>
      <c r="D776" s="80"/>
    </row>
    <row r="777">
      <c r="A777" s="80"/>
      <c r="D777" s="80"/>
    </row>
    <row r="778">
      <c r="A778" s="80"/>
      <c r="D778" s="80"/>
    </row>
    <row r="779">
      <c r="A779" s="80"/>
      <c r="D779" s="80"/>
    </row>
    <row r="780">
      <c r="A780" s="80"/>
      <c r="D780" s="80"/>
    </row>
    <row r="781">
      <c r="A781" s="80"/>
      <c r="D781" s="80"/>
    </row>
    <row r="782">
      <c r="A782" s="80"/>
      <c r="D782" s="80"/>
    </row>
    <row r="783">
      <c r="A783" s="80"/>
      <c r="D783" s="80"/>
    </row>
    <row r="784">
      <c r="A784" s="80"/>
      <c r="D784" s="80"/>
    </row>
    <row r="785">
      <c r="A785" s="80"/>
      <c r="D785" s="80"/>
    </row>
    <row r="786">
      <c r="A786" s="80"/>
      <c r="D786" s="80"/>
    </row>
    <row r="787">
      <c r="A787" s="80"/>
      <c r="D787" s="80"/>
    </row>
    <row r="788">
      <c r="A788" s="80"/>
      <c r="D788" s="80"/>
    </row>
    <row r="789">
      <c r="A789" s="80"/>
      <c r="D789" s="80"/>
    </row>
    <row r="790">
      <c r="A790" s="80"/>
      <c r="D790" s="80"/>
    </row>
    <row r="791">
      <c r="A791" s="80"/>
      <c r="D791" s="80"/>
    </row>
    <row r="792">
      <c r="A792" s="80"/>
      <c r="D792" s="80"/>
    </row>
    <row r="793">
      <c r="A793" s="80"/>
      <c r="D793" s="80"/>
    </row>
    <row r="794">
      <c r="A794" s="80"/>
      <c r="D794" s="80"/>
    </row>
    <row r="795">
      <c r="A795" s="80"/>
      <c r="D795" s="80"/>
    </row>
    <row r="796">
      <c r="A796" s="80"/>
      <c r="D796" s="80"/>
    </row>
    <row r="797">
      <c r="A797" s="80"/>
      <c r="D797" s="80"/>
    </row>
    <row r="798">
      <c r="A798" s="80"/>
      <c r="D798" s="80"/>
    </row>
    <row r="799">
      <c r="A799" s="80"/>
      <c r="D799" s="80"/>
    </row>
    <row r="800">
      <c r="A800" s="80"/>
      <c r="D800" s="80"/>
    </row>
    <row r="801">
      <c r="A801" s="80"/>
      <c r="D801" s="80"/>
    </row>
    <row r="802">
      <c r="A802" s="80"/>
      <c r="D802" s="80"/>
    </row>
    <row r="803">
      <c r="A803" s="80"/>
      <c r="D803" s="80"/>
    </row>
    <row r="804">
      <c r="A804" s="80"/>
      <c r="D804" s="80"/>
    </row>
    <row r="805">
      <c r="A805" s="80"/>
      <c r="D805" s="80"/>
    </row>
    <row r="806">
      <c r="A806" s="80"/>
      <c r="D806" s="80"/>
    </row>
    <row r="807">
      <c r="A807" s="80"/>
      <c r="D807" s="80"/>
    </row>
    <row r="808">
      <c r="A808" s="80"/>
      <c r="D808" s="80"/>
    </row>
    <row r="809">
      <c r="A809" s="80"/>
      <c r="D809" s="80"/>
    </row>
    <row r="810">
      <c r="A810" s="80"/>
      <c r="D810" s="80"/>
    </row>
    <row r="811">
      <c r="A811" s="80"/>
      <c r="D811" s="80"/>
    </row>
    <row r="812">
      <c r="A812" s="80"/>
      <c r="D812" s="80"/>
    </row>
    <row r="813">
      <c r="A813" s="80"/>
      <c r="D813" s="80"/>
    </row>
    <row r="814">
      <c r="A814" s="80"/>
      <c r="D814" s="80"/>
    </row>
    <row r="815">
      <c r="A815" s="80"/>
      <c r="D815" s="80"/>
    </row>
    <row r="816">
      <c r="A816" s="80"/>
      <c r="D816" s="80"/>
    </row>
    <row r="817">
      <c r="A817" s="80"/>
      <c r="D817" s="80"/>
    </row>
    <row r="818">
      <c r="A818" s="80"/>
      <c r="D818" s="80"/>
    </row>
    <row r="819">
      <c r="A819" s="80"/>
      <c r="D819" s="80"/>
    </row>
    <row r="820">
      <c r="A820" s="80"/>
      <c r="D820" s="80"/>
    </row>
    <row r="821">
      <c r="A821" s="80"/>
      <c r="D821" s="80"/>
    </row>
    <row r="822">
      <c r="A822" s="80"/>
      <c r="D822" s="80"/>
    </row>
    <row r="823">
      <c r="A823" s="80"/>
      <c r="D823" s="80"/>
    </row>
    <row r="824">
      <c r="A824" s="80"/>
      <c r="D824" s="80"/>
    </row>
    <row r="825">
      <c r="A825" s="80"/>
      <c r="D825" s="80"/>
    </row>
    <row r="826">
      <c r="A826" s="80"/>
      <c r="D826" s="80"/>
    </row>
    <row r="827">
      <c r="A827" s="80"/>
      <c r="D827" s="80"/>
    </row>
    <row r="828">
      <c r="A828" s="80"/>
      <c r="D828" s="80"/>
    </row>
    <row r="829">
      <c r="A829" s="80"/>
      <c r="D829" s="80"/>
    </row>
    <row r="830">
      <c r="A830" s="80"/>
      <c r="D830" s="80"/>
    </row>
    <row r="831">
      <c r="A831" s="80"/>
      <c r="D831" s="80"/>
    </row>
    <row r="832">
      <c r="A832" s="80"/>
      <c r="D832" s="80"/>
    </row>
    <row r="833">
      <c r="A833" s="80"/>
      <c r="D833" s="80"/>
    </row>
    <row r="834">
      <c r="A834" s="80"/>
      <c r="D834" s="80"/>
    </row>
    <row r="835">
      <c r="A835" s="80"/>
      <c r="D835" s="80"/>
    </row>
    <row r="836">
      <c r="A836" s="80"/>
      <c r="D836" s="80"/>
    </row>
    <row r="837">
      <c r="A837" s="80"/>
      <c r="D837" s="80"/>
    </row>
    <row r="838">
      <c r="A838" s="80"/>
      <c r="D838" s="80"/>
    </row>
    <row r="839">
      <c r="A839" s="80"/>
      <c r="D839" s="80"/>
    </row>
    <row r="840">
      <c r="A840" s="80"/>
      <c r="D840" s="80"/>
    </row>
    <row r="841">
      <c r="A841" s="80"/>
      <c r="D841" s="80"/>
    </row>
    <row r="842">
      <c r="A842" s="80"/>
      <c r="D842" s="80"/>
    </row>
    <row r="843">
      <c r="A843" s="80"/>
      <c r="D843" s="80"/>
    </row>
    <row r="844">
      <c r="A844" s="80"/>
      <c r="D844" s="80"/>
    </row>
    <row r="845">
      <c r="A845" s="80"/>
      <c r="D845" s="80"/>
    </row>
    <row r="846">
      <c r="A846" s="80"/>
      <c r="D846" s="80"/>
    </row>
    <row r="847">
      <c r="A847" s="80"/>
      <c r="D847" s="80"/>
    </row>
    <row r="848">
      <c r="A848" s="80"/>
      <c r="D848" s="80"/>
    </row>
    <row r="849">
      <c r="A849" s="80"/>
      <c r="D849" s="80"/>
    </row>
    <row r="850">
      <c r="A850" s="80"/>
      <c r="D850" s="80"/>
    </row>
    <row r="851">
      <c r="A851" s="80"/>
      <c r="D851" s="80"/>
    </row>
    <row r="852">
      <c r="A852" s="80"/>
      <c r="D852" s="80"/>
    </row>
    <row r="853">
      <c r="A853" s="80"/>
      <c r="D853" s="80"/>
    </row>
    <row r="854">
      <c r="A854" s="80"/>
      <c r="D854" s="80"/>
    </row>
    <row r="855">
      <c r="A855" s="80"/>
      <c r="D855" s="80"/>
    </row>
    <row r="856">
      <c r="A856" s="80"/>
      <c r="D856" s="80"/>
    </row>
    <row r="857">
      <c r="A857" s="80"/>
      <c r="D857" s="80"/>
    </row>
    <row r="858">
      <c r="A858" s="80"/>
      <c r="D858" s="80"/>
    </row>
    <row r="859">
      <c r="A859" s="80"/>
      <c r="D859" s="80"/>
    </row>
    <row r="860">
      <c r="A860" s="80"/>
      <c r="D860" s="80"/>
    </row>
    <row r="861">
      <c r="A861" s="80"/>
      <c r="D861" s="80"/>
    </row>
    <row r="862">
      <c r="A862" s="80"/>
      <c r="D862" s="80"/>
    </row>
    <row r="863">
      <c r="A863" s="80"/>
      <c r="D863" s="80"/>
    </row>
    <row r="864">
      <c r="A864" s="80"/>
      <c r="D864" s="80"/>
    </row>
    <row r="865">
      <c r="A865" s="80"/>
      <c r="D865" s="80"/>
    </row>
    <row r="866">
      <c r="A866" s="80"/>
      <c r="D866" s="80"/>
    </row>
    <row r="867">
      <c r="A867" s="80"/>
      <c r="D867" s="80"/>
    </row>
    <row r="868">
      <c r="A868" s="80"/>
      <c r="D868" s="80"/>
    </row>
    <row r="869">
      <c r="A869" s="80"/>
      <c r="D869" s="80"/>
    </row>
    <row r="870">
      <c r="A870" s="80"/>
      <c r="D870" s="80"/>
    </row>
    <row r="871">
      <c r="A871" s="80"/>
      <c r="D871" s="80"/>
    </row>
    <row r="872">
      <c r="A872" s="80"/>
      <c r="D872" s="80"/>
    </row>
    <row r="873">
      <c r="A873" s="80"/>
      <c r="D873" s="80"/>
    </row>
    <row r="874">
      <c r="A874" s="80"/>
      <c r="D874" s="80"/>
    </row>
    <row r="875">
      <c r="A875" s="80"/>
      <c r="D875" s="80"/>
    </row>
    <row r="876">
      <c r="A876" s="80"/>
      <c r="D876" s="80"/>
    </row>
    <row r="877">
      <c r="A877" s="80"/>
      <c r="D877" s="80"/>
    </row>
    <row r="878">
      <c r="A878" s="80"/>
      <c r="D878" s="80"/>
    </row>
    <row r="879">
      <c r="A879" s="80"/>
      <c r="D879" s="80"/>
    </row>
    <row r="880">
      <c r="A880" s="80"/>
      <c r="D880" s="80"/>
    </row>
    <row r="881">
      <c r="A881" s="80"/>
      <c r="D881" s="80"/>
    </row>
    <row r="882">
      <c r="A882" s="80"/>
      <c r="D882" s="80"/>
    </row>
    <row r="883">
      <c r="A883" s="80"/>
      <c r="D883" s="80"/>
    </row>
    <row r="884">
      <c r="A884" s="80"/>
      <c r="D884" s="80"/>
    </row>
    <row r="885">
      <c r="A885" s="80"/>
      <c r="D885" s="80"/>
    </row>
    <row r="886">
      <c r="A886" s="80"/>
      <c r="D886" s="80"/>
    </row>
    <row r="887">
      <c r="A887" s="80"/>
      <c r="D887" s="80"/>
    </row>
    <row r="888">
      <c r="A888" s="80"/>
      <c r="D888" s="80"/>
    </row>
    <row r="889">
      <c r="A889" s="80"/>
      <c r="D889" s="80"/>
    </row>
    <row r="890">
      <c r="A890" s="80"/>
      <c r="D890" s="80"/>
    </row>
    <row r="891">
      <c r="A891" s="80"/>
      <c r="D891" s="80"/>
    </row>
    <row r="892">
      <c r="A892" s="80"/>
      <c r="D892" s="80"/>
    </row>
    <row r="893">
      <c r="A893" s="80"/>
      <c r="D893" s="80"/>
    </row>
    <row r="894">
      <c r="A894" s="80"/>
      <c r="D894" s="80"/>
    </row>
    <row r="895">
      <c r="A895" s="80"/>
      <c r="D895" s="80"/>
    </row>
    <row r="896">
      <c r="A896" s="80"/>
      <c r="D896" s="80"/>
    </row>
    <row r="897">
      <c r="A897" s="80"/>
      <c r="D897" s="80"/>
    </row>
    <row r="898">
      <c r="A898" s="80"/>
      <c r="D898" s="80"/>
    </row>
    <row r="899">
      <c r="A899" s="80"/>
      <c r="D899" s="80"/>
    </row>
    <row r="900">
      <c r="A900" s="80"/>
      <c r="D900" s="80"/>
    </row>
    <row r="901">
      <c r="A901" s="80"/>
      <c r="D901" s="80"/>
    </row>
    <row r="902">
      <c r="A902" s="80"/>
      <c r="D902" s="80"/>
    </row>
    <row r="903">
      <c r="A903" s="80"/>
      <c r="D903" s="80"/>
    </row>
    <row r="904">
      <c r="A904" s="80"/>
      <c r="D904" s="80"/>
    </row>
    <row r="905">
      <c r="A905" s="80"/>
      <c r="D905" s="80"/>
    </row>
    <row r="906">
      <c r="A906" s="80"/>
      <c r="D906" s="80"/>
    </row>
    <row r="907">
      <c r="A907" s="80"/>
      <c r="D907" s="80"/>
    </row>
    <row r="908">
      <c r="A908" s="80"/>
      <c r="D908" s="80"/>
    </row>
    <row r="909">
      <c r="A909" s="80"/>
      <c r="D909" s="80"/>
    </row>
    <row r="910">
      <c r="A910" s="80"/>
      <c r="D910" s="80"/>
    </row>
    <row r="911">
      <c r="A911" s="80"/>
      <c r="D911" s="80"/>
    </row>
    <row r="912">
      <c r="A912" s="80"/>
      <c r="D912" s="80"/>
    </row>
    <row r="913">
      <c r="A913" s="80"/>
      <c r="D913" s="80"/>
    </row>
    <row r="914">
      <c r="A914" s="80"/>
      <c r="D914" s="80"/>
    </row>
    <row r="915">
      <c r="A915" s="80"/>
      <c r="D915" s="80"/>
    </row>
    <row r="916">
      <c r="A916" s="80"/>
      <c r="D916" s="80"/>
    </row>
    <row r="917">
      <c r="A917" s="80"/>
      <c r="D917" s="80"/>
    </row>
    <row r="918">
      <c r="A918" s="80"/>
      <c r="D918" s="80"/>
    </row>
    <row r="919">
      <c r="A919" s="80"/>
      <c r="D919" s="80"/>
    </row>
    <row r="920">
      <c r="A920" s="80"/>
      <c r="D920" s="80"/>
    </row>
    <row r="921">
      <c r="A921" s="80"/>
      <c r="D921" s="80"/>
    </row>
    <row r="922">
      <c r="A922" s="80"/>
      <c r="D922" s="80"/>
    </row>
    <row r="923">
      <c r="A923" s="80"/>
      <c r="D923" s="80"/>
    </row>
    <row r="924">
      <c r="A924" s="80"/>
      <c r="D924" s="80"/>
    </row>
    <row r="925">
      <c r="A925" s="80"/>
      <c r="D925" s="80"/>
    </row>
    <row r="926">
      <c r="A926" s="80"/>
      <c r="D926" s="80"/>
    </row>
    <row r="927">
      <c r="A927" s="80"/>
      <c r="D927" s="80"/>
    </row>
    <row r="928">
      <c r="A928" s="80"/>
      <c r="D928" s="80"/>
    </row>
    <row r="929">
      <c r="A929" s="80"/>
      <c r="D929" s="80"/>
    </row>
    <row r="930">
      <c r="A930" s="80"/>
      <c r="D930" s="80"/>
    </row>
    <row r="931">
      <c r="A931" s="80"/>
      <c r="D931" s="80"/>
    </row>
    <row r="932">
      <c r="A932" s="80"/>
      <c r="D932" s="80"/>
    </row>
    <row r="933">
      <c r="A933" s="80"/>
      <c r="D933" s="80"/>
    </row>
    <row r="934">
      <c r="A934" s="80"/>
      <c r="D934" s="80"/>
    </row>
    <row r="935">
      <c r="A935" s="80"/>
      <c r="D935" s="80"/>
    </row>
    <row r="936">
      <c r="A936" s="80"/>
      <c r="D936" s="80"/>
    </row>
    <row r="937">
      <c r="A937" s="80"/>
      <c r="D937" s="80"/>
    </row>
    <row r="938">
      <c r="A938" s="80"/>
      <c r="D938" s="80"/>
    </row>
    <row r="939">
      <c r="A939" s="80"/>
      <c r="D939" s="80"/>
    </row>
    <row r="940">
      <c r="A940" s="80"/>
      <c r="D940" s="80"/>
    </row>
    <row r="941">
      <c r="A941" s="80"/>
      <c r="D941" s="80"/>
    </row>
    <row r="942">
      <c r="A942" s="80"/>
      <c r="D942" s="80"/>
    </row>
    <row r="943">
      <c r="A943" s="80"/>
      <c r="D943" s="80"/>
    </row>
    <row r="944">
      <c r="A944" s="80"/>
      <c r="D944" s="80"/>
    </row>
    <row r="945">
      <c r="A945" s="80"/>
      <c r="D945" s="80"/>
    </row>
    <row r="946">
      <c r="A946" s="80"/>
      <c r="D946" s="80"/>
    </row>
    <row r="947">
      <c r="A947" s="80"/>
      <c r="D947" s="80"/>
    </row>
    <row r="948">
      <c r="A948" s="80"/>
      <c r="D948" s="80"/>
    </row>
    <row r="949">
      <c r="A949" s="80"/>
      <c r="D949" s="80"/>
    </row>
    <row r="950">
      <c r="A950" s="80"/>
      <c r="D950" s="80"/>
    </row>
    <row r="951">
      <c r="A951" s="80"/>
      <c r="D951" s="80"/>
    </row>
    <row r="952">
      <c r="A952" s="80"/>
      <c r="D952" s="80"/>
    </row>
    <row r="953">
      <c r="A953" s="80"/>
      <c r="D953" s="80"/>
    </row>
    <row r="954">
      <c r="A954" s="80"/>
      <c r="D954" s="80"/>
    </row>
    <row r="955">
      <c r="A955" s="80"/>
      <c r="D955" s="80"/>
    </row>
    <row r="956">
      <c r="A956" s="80"/>
      <c r="D956" s="80"/>
    </row>
    <row r="957">
      <c r="A957" s="80"/>
      <c r="D957" s="80"/>
    </row>
    <row r="958">
      <c r="A958" s="80"/>
      <c r="D958" s="80"/>
    </row>
    <row r="959">
      <c r="A959" s="80"/>
      <c r="D959" s="80"/>
    </row>
    <row r="960">
      <c r="A960" s="80"/>
      <c r="D960" s="80"/>
    </row>
    <row r="961">
      <c r="A961" s="80"/>
      <c r="D961" s="80"/>
    </row>
    <row r="962">
      <c r="A962" s="80"/>
      <c r="D962" s="80"/>
    </row>
    <row r="963">
      <c r="A963" s="80"/>
      <c r="D963" s="80"/>
    </row>
    <row r="964">
      <c r="A964" s="80"/>
      <c r="D964" s="80"/>
    </row>
    <row r="965">
      <c r="A965" s="80"/>
      <c r="D965" s="80"/>
    </row>
    <row r="966">
      <c r="A966" s="80"/>
      <c r="D966" s="80"/>
    </row>
    <row r="967">
      <c r="A967" s="80"/>
      <c r="D967" s="80"/>
    </row>
    <row r="968">
      <c r="A968" s="80"/>
      <c r="D968" s="80"/>
    </row>
    <row r="969">
      <c r="A969" s="80"/>
      <c r="D969" s="80"/>
    </row>
    <row r="970">
      <c r="A970" s="80"/>
      <c r="D970" s="80"/>
    </row>
    <row r="971">
      <c r="A971" s="80"/>
      <c r="D971" s="80"/>
    </row>
    <row r="972">
      <c r="A972" s="80"/>
      <c r="D972" s="80"/>
    </row>
    <row r="973">
      <c r="A973" s="80"/>
      <c r="D973" s="80"/>
    </row>
    <row r="974">
      <c r="A974" s="80"/>
      <c r="D974" s="80"/>
    </row>
    <row r="975">
      <c r="A975" s="80"/>
      <c r="D975" s="80"/>
    </row>
    <row r="976">
      <c r="A976" s="80"/>
      <c r="D976" s="80"/>
    </row>
    <row r="977">
      <c r="A977" s="80"/>
      <c r="D977" s="80"/>
    </row>
    <row r="978">
      <c r="A978" s="80"/>
      <c r="D978" s="80"/>
    </row>
    <row r="979">
      <c r="A979" s="80"/>
      <c r="D979" s="80"/>
    </row>
    <row r="980">
      <c r="A980" s="80"/>
      <c r="D980" s="80"/>
    </row>
    <row r="981">
      <c r="A981" s="80"/>
      <c r="D981" s="80"/>
    </row>
    <row r="982">
      <c r="A982" s="80"/>
      <c r="D982" s="80"/>
    </row>
    <row r="983">
      <c r="A983" s="80"/>
      <c r="D983" s="80"/>
    </row>
    <row r="984">
      <c r="A984" s="80"/>
      <c r="D984" s="80"/>
    </row>
    <row r="985">
      <c r="A985" s="80"/>
      <c r="D985" s="80"/>
    </row>
    <row r="986">
      <c r="A986" s="80"/>
      <c r="D986" s="80"/>
    </row>
    <row r="987">
      <c r="A987" s="80"/>
      <c r="D987" s="80"/>
    </row>
    <row r="988">
      <c r="A988" s="80"/>
      <c r="D988" s="80"/>
    </row>
    <row r="989">
      <c r="A989" s="80"/>
      <c r="D989" s="80"/>
    </row>
    <row r="990">
      <c r="A990" s="80"/>
      <c r="D990" s="80"/>
    </row>
    <row r="991">
      <c r="A991" s="80"/>
      <c r="D991" s="80"/>
    </row>
    <row r="992">
      <c r="A992" s="80"/>
      <c r="D992" s="80"/>
    </row>
    <row r="993">
      <c r="A993" s="80"/>
      <c r="D993" s="80"/>
    </row>
    <row r="994">
      <c r="A994" s="80"/>
      <c r="D994" s="80"/>
    </row>
    <row r="995">
      <c r="A995" s="80"/>
      <c r="D995" s="80"/>
    </row>
    <row r="996">
      <c r="A996" s="80"/>
      <c r="D996" s="80"/>
    </row>
    <row r="997">
      <c r="A997" s="80"/>
      <c r="D997" s="80"/>
    </row>
  </sheetData>
  <mergeCells count="40">
    <mergeCell ref="C109:D109"/>
    <mergeCell ref="E109:F109"/>
    <mergeCell ref="K109:L109"/>
    <mergeCell ref="M109:N109"/>
    <mergeCell ref="A110:A112"/>
    <mergeCell ref="I110:I112"/>
    <mergeCell ref="I113:I115"/>
    <mergeCell ref="J130:K138"/>
    <mergeCell ref="H139:K139"/>
    <mergeCell ref="I116:J116"/>
    <mergeCell ref="C117:F117"/>
    <mergeCell ref="K117:N117"/>
    <mergeCell ref="L118:N124"/>
    <mergeCell ref="J119:K119"/>
    <mergeCell ref="J121:K121"/>
    <mergeCell ref="H129:K129"/>
    <mergeCell ref="P151:Q151"/>
    <mergeCell ref="R151:S151"/>
    <mergeCell ref="B139:E139"/>
    <mergeCell ref="B151:C151"/>
    <mergeCell ref="D151:E151"/>
    <mergeCell ref="F151:G151"/>
    <mergeCell ref="H151:I151"/>
    <mergeCell ref="L151:M151"/>
    <mergeCell ref="N151:O151"/>
    <mergeCell ref="B162:C162"/>
    <mergeCell ref="D162:E162"/>
    <mergeCell ref="F162:G162"/>
    <mergeCell ref="H162:I162"/>
    <mergeCell ref="L162:M162"/>
    <mergeCell ref="N162:O162"/>
    <mergeCell ref="P162:Q162"/>
    <mergeCell ref="R162:S162"/>
    <mergeCell ref="A113:A115"/>
    <mergeCell ref="A116:B116"/>
    <mergeCell ref="D118:F124"/>
    <mergeCell ref="B119:C119"/>
    <mergeCell ref="B121:C121"/>
    <mergeCell ref="B129:E129"/>
    <mergeCell ref="D130:E1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3" max="3" width="15.25"/>
  </cols>
  <sheetData>
    <row r="1">
      <c r="A1" s="57" t="s">
        <v>292</v>
      </c>
      <c r="B1" s="4" t="s">
        <v>293</v>
      </c>
      <c r="C1" s="4" t="s">
        <v>294</v>
      </c>
    </row>
    <row r="2">
      <c r="A2" s="4" t="s">
        <v>295</v>
      </c>
      <c r="B2" s="4" t="s">
        <v>296</v>
      </c>
      <c r="C2" s="4">
        <v>360.0</v>
      </c>
    </row>
    <row r="3">
      <c r="A3" s="4" t="s">
        <v>297</v>
      </c>
      <c r="B3" s="4" t="s">
        <v>296</v>
      </c>
      <c r="C3" s="4">
        <v>360.0</v>
      </c>
    </row>
    <row r="5">
      <c r="A5" s="57" t="s">
        <v>298</v>
      </c>
    </row>
    <row r="6">
      <c r="A6" s="4" t="s">
        <v>299</v>
      </c>
    </row>
    <row r="8">
      <c r="A8" s="57" t="s">
        <v>300</v>
      </c>
    </row>
    <row r="9">
      <c r="A9" s="4" t="s">
        <v>301</v>
      </c>
      <c r="B9" s="4" t="s">
        <v>302</v>
      </c>
      <c r="C9" s="4" t="s">
        <v>303</v>
      </c>
      <c r="D9" s="4">
        <v>360.0</v>
      </c>
    </row>
    <row r="11">
      <c r="A11" s="57" t="s">
        <v>304</v>
      </c>
    </row>
    <row r="12">
      <c r="A12" s="4" t="s">
        <v>299</v>
      </c>
    </row>
    <row r="14">
      <c r="A14" s="57" t="s">
        <v>305</v>
      </c>
    </row>
    <row r="15">
      <c r="A15" s="4" t="s">
        <v>306</v>
      </c>
      <c r="B15" s="4" t="s">
        <v>296</v>
      </c>
      <c r="C15" s="4">
        <v>360.0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307</v>
      </c>
    </row>
    <row r="2">
      <c r="A2" s="4"/>
    </row>
    <row r="3">
      <c r="A3" s="57" t="s">
        <v>308</v>
      </c>
    </row>
    <row r="4">
      <c r="A4" s="105" t="s">
        <v>309</v>
      </c>
    </row>
    <row r="5">
      <c r="A5" s="4" t="s">
        <v>310</v>
      </c>
    </row>
    <row r="7">
      <c r="A7" s="4" t="s">
        <v>311</v>
      </c>
      <c r="B7" s="4" t="s">
        <v>296</v>
      </c>
    </row>
    <row r="8">
      <c r="A8" s="4" t="s">
        <v>312</v>
      </c>
      <c r="B8" s="4" t="s">
        <v>313</v>
      </c>
    </row>
    <row r="9">
      <c r="A9" s="69" t="s">
        <v>314</v>
      </c>
      <c r="B9" s="69" t="s">
        <v>315</v>
      </c>
    </row>
    <row r="10">
      <c r="A10" s="106"/>
    </row>
    <row r="11">
      <c r="A11" s="106" t="s">
        <v>316</v>
      </c>
    </row>
    <row r="12">
      <c r="A12" s="4" t="s">
        <v>317</v>
      </c>
      <c r="B12" s="4" t="s">
        <v>299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7" t="s">
        <v>318</v>
      </c>
      <c r="B1" s="49" t="s">
        <v>319</v>
      </c>
      <c r="C1" s="108" t="s">
        <v>320</v>
      </c>
      <c r="D1" s="109" t="s">
        <v>202</v>
      </c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  <c r="CI1" s="110"/>
      <c r="CJ1" s="110"/>
      <c r="CK1" s="110"/>
      <c r="CL1" s="110"/>
      <c r="CM1" s="110"/>
      <c r="CN1" s="110"/>
      <c r="CO1" s="110"/>
      <c r="CP1" s="110"/>
      <c r="CQ1" s="110"/>
      <c r="CR1" s="110"/>
      <c r="CS1" s="110"/>
      <c r="CT1" s="110"/>
      <c r="CU1" s="110"/>
      <c r="CV1" s="110"/>
      <c r="CW1" s="110"/>
      <c r="CX1" s="110"/>
      <c r="CY1" s="110"/>
      <c r="CZ1" s="110"/>
      <c r="DA1" s="110"/>
      <c r="DB1" s="110"/>
      <c r="DC1" s="110"/>
      <c r="DD1" s="110"/>
      <c r="DE1" s="110"/>
      <c r="DF1" s="110"/>
    </row>
    <row r="2">
      <c r="A2" s="111">
        <v>1.0</v>
      </c>
      <c r="B2" s="4" t="s">
        <v>321</v>
      </c>
      <c r="C2" s="112" t="s">
        <v>322</v>
      </c>
      <c r="D2" s="113">
        <v>1500.0</v>
      </c>
    </row>
    <row r="3">
      <c r="A3" s="111">
        <v>2.0</v>
      </c>
      <c r="B3" s="4" t="s">
        <v>321</v>
      </c>
      <c r="C3" s="112" t="s">
        <v>323</v>
      </c>
      <c r="D3" s="113">
        <v>400.0</v>
      </c>
    </row>
    <row r="4">
      <c r="A4" s="111">
        <v>3.0</v>
      </c>
      <c r="B4" s="4" t="s">
        <v>321</v>
      </c>
      <c r="C4" s="112" t="s">
        <v>324</v>
      </c>
      <c r="D4" s="113">
        <v>1900.0</v>
      </c>
    </row>
    <row r="5">
      <c r="A5" s="114"/>
      <c r="C5" s="112" t="s">
        <v>325</v>
      </c>
      <c r="D5" s="115"/>
    </row>
    <row r="6">
      <c r="A6" s="114"/>
      <c r="C6" s="112" t="s">
        <v>326</v>
      </c>
      <c r="D6" s="115"/>
    </row>
    <row r="7">
      <c r="A7" s="114"/>
      <c r="C7" s="112" t="s">
        <v>327</v>
      </c>
      <c r="D7" s="115"/>
    </row>
    <row r="8">
      <c r="A8" s="114"/>
      <c r="C8" s="112" t="s">
        <v>328</v>
      </c>
      <c r="D8" s="115"/>
    </row>
    <row r="9">
      <c r="A9" s="114"/>
      <c r="C9" s="112" t="s">
        <v>329</v>
      </c>
      <c r="D9" s="115"/>
    </row>
    <row r="10">
      <c r="A10" s="114"/>
      <c r="C10" s="112" t="s">
        <v>330</v>
      </c>
      <c r="D10" s="115"/>
    </row>
    <row r="11">
      <c r="A11" s="114"/>
      <c r="C11" s="112" t="s">
        <v>331</v>
      </c>
      <c r="D11" s="115"/>
    </row>
    <row r="12">
      <c r="A12" s="114"/>
      <c r="C12" s="112" t="s">
        <v>332</v>
      </c>
      <c r="D12" s="115"/>
    </row>
    <row r="13">
      <c r="A13" s="114"/>
      <c r="C13" s="112" t="s">
        <v>333</v>
      </c>
      <c r="D13" s="115"/>
    </row>
    <row r="14">
      <c r="A14" s="114"/>
      <c r="C14" s="112" t="s">
        <v>334</v>
      </c>
      <c r="D14" s="115"/>
    </row>
    <row r="15">
      <c r="A15" s="114"/>
      <c r="C15" s="112" t="s">
        <v>335</v>
      </c>
      <c r="D15" s="115"/>
    </row>
    <row r="16">
      <c r="A16" s="114"/>
      <c r="C16" s="116" t="s">
        <v>336</v>
      </c>
      <c r="D16" s="115"/>
    </row>
    <row r="17">
      <c r="A17" s="114"/>
      <c r="C17" s="116" t="s">
        <v>337</v>
      </c>
      <c r="D17" s="115"/>
    </row>
    <row r="18">
      <c r="A18" s="114"/>
      <c r="C18" s="116" t="s">
        <v>337</v>
      </c>
      <c r="D18" s="115"/>
    </row>
    <row r="19">
      <c r="A19" s="114"/>
      <c r="C19" s="116" t="s">
        <v>338</v>
      </c>
      <c r="D19" s="115"/>
    </row>
    <row r="20">
      <c r="A20" s="114"/>
      <c r="C20" s="116" t="s">
        <v>339</v>
      </c>
      <c r="D20" s="115"/>
    </row>
    <row r="21">
      <c r="A21" s="114"/>
      <c r="C21" s="116" t="s">
        <v>340</v>
      </c>
      <c r="D21" s="115"/>
    </row>
    <row r="22">
      <c r="A22" s="114"/>
      <c r="C22" s="116" t="s">
        <v>341</v>
      </c>
      <c r="D22" s="115"/>
    </row>
    <row r="23">
      <c r="A23" s="114"/>
      <c r="C23" s="116" t="s">
        <v>342</v>
      </c>
      <c r="D23" s="115"/>
    </row>
    <row r="24">
      <c r="A24" s="114"/>
      <c r="C24" s="116" t="s">
        <v>343</v>
      </c>
      <c r="D24" s="115"/>
    </row>
    <row r="25">
      <c r="A25" s="114"/>
      <c r="C25" s="116" t="s">
        <v>344</v>
      </c>
      <c r="D25" s="115"/>
    </row>
    <row r="26">
      <c r="A26" s="114"/>
      <c r="C26" s="116" t="s">
        <v>345</v>
      </c>
      <c r="D26" s="115"/>
    </row>
    <row r="27">
      <c r="A27" s="114"/>
      <c r="C27" s="116" t="s">
        <v>346</v>
      </c>
      <c r="D27" s="115"/>
    </row>
    <row r="28">
      <c r="A28" s="114"/>
      <c r="C28" s="116" t="s">
        <v>347</v>
      </c>
      <c r="D28" s="115"/>
    </row>
    <row r="29">
      <c r="A29" s="114"/>
      <c r="C29" s="116" t="s">
        <v>348</v>
      </c>
      <c r="D29" s="115"/>
    </row>
    <row r="30">
      <c r="A30" s="114"/>
      <c r="C30" s="112" t="s">
        <v>349</v>
      </c>
      <c r="D30" s="115"/>
    </row>
    <row r="31">
      <c r="A31" s="114"/>
      <c r="C31" s="112" t="s">
        <v>350</v>
      </c>
      <c r="D31" s="115"/>
    </row>
    <row r="32">
      <c r="A32" s="114"/>
      <c r="C32" s="112" t="s">
        <v>351</v>
      </c>
      <c r="D32" s="115"/>
    </row>
    <row r="33">
      <c r="A33" s="114"/>
      <c r="C33" s="112" t="s">
        <v>352</v>
      </c>
      <c r="D33" s="115"/>
    </row>
    <row r="34">
      <c r="A34" s="114"/>
      <c r="C34" s="112" t="s">
        <v>353</v>
      </c>
      <c r="D34" s="115"/>
    </row>
    <row r="35">
      <c r="A35" s="114"/>
      <c r="C35" s="112" t="s">
        <v>354</v>
      </c>
      <c r="D35" s="115"/>
    </row>
    <row r="36">
      <c r="A36" s="114"/>
      <c r="C36" s="112" t="s">
        <v>355</v>
      </c>
      <c r="D36" s="115"/>
    </row>
    <row r="37">
      <c r="A37" s="114"/>
      <c r="C37" s="112" t="s">
        <v>356</v>
      </c>
      <c r="D37" s="115"/>
    </row>
    <row r="38">
      <c r="A38" s="114"/>
      <c r="C38" s="112" t="s">
        <v>357</v>
      </c>
      <c r="D38" s="115"/>
    </row>
    <row r="39">
      <c r="A39" s="114"/>
      <c r="C39" s="112" t="s">
        <v>358</v>
      </c>
      <c r="D39" s="115"/>
    </row>
    <row r="40">
      <c r="A40" s="114"/>
      <c r="C40" s="112" t="s">
        <v>359</v>
      </c>
      <c r="D40" s="115"/>
    </row>
    <row r="41">
      <c r="A41" s="114"/>
      <c r="C41" s="112" t="s">
        <v>360</v>
      </c>
      <c r="D41" s="115"/>
    </row>
    <row r="42">
      <c r="A42" s="114"/>
      <c r="C42" s="112" t="s">
        <v>361</v>
      </c>
      <c r="D42" s="115"/>
    </row>
    <row r="43">
      <c r="A43" s="114"/>
      <c r="C43" s="112" t="s">
        <v>362</v>
      </c>
      <c r="D43" s="115"/>
    </row>
    <row r="44">
      <c r="A44" s="114"/>
      <c r="C44" s="112" t="s">
        <v>363</v>
      </c>
      <c r="D44" s="115"/>
    </row>
    <row r="45">
      <c r="A45" s="114"/>
      <c r="C45" s="112" t="s">
        <v>364</v>
      </c>
      <c r="D45" s="115"/>
    </row>
    <row r="46">
      <c r="A46" s="114"/>
      <c r="C46" s="112" t="s">
        <v>365</v>
      </c>
      <c r="D46" s="115"/>
    </row>
    <row r="47">
      <c r="A47" s="114"/>
      <c r="C47" s="112" t="s">
        <v>366</v>
      </c>
      <c r="D47" s="115"/>
    </row>
    <row r="48">
      <c r="A48" s="114"/>
      <c r="C48" s="112" t="s">
        <v>367</v>
      </c>
      <c r="D48" s="115"/>
    </row>
    <row r="49">
      <c r="A49" s="114"/>
      <c r="C49" s="112" t="s">
        <v>368</v>
      </c>
      <c r="D49" s="115"/>
    </row>
    <row r="50">
      <c r="A50" s="114"/>
      <c r="C50" s="112" t="s">
        <v>369</v>
      </c>
      <c r="D50" s="115"/>
    </row>
    <row r="51">
      <c r="A51" s="114"/>
      <c r="C51" s="112" t="s">
        <v>370</v>
      </c>
      <c r="D51" s="115"/>
    </row>
    <row r="52">
      <c r="A52" s="114"/>
      <c r="C52" s="112" t="s">
        <v>371</v>
      </c>
      <c r="D52" s="115"/>
    </row>
    <row r="53">
      <c r="A53" s="114"/>
      <c r="C53" s="112" t="s">
        <v>372</v>
      </c>
      <c r="D53" s="115"/>
    </row>
    <row r="54">
      <c r="A54" s="114"/>
      <c r="C54" s="112" t="s">
        <v>373</v>
      </c>
      <c r="D54" s="115"/>
    </row>
    <row r="55">
      <c r="A55" s="114"/>
      <c r="C55" s="112" t="s">
        <v>374</v>
      </c>
      <c r="D55" s="115"/>
    </row>
    <row r="56">
      <c r="A56" s="114"/>
      <c r="C56" s="112" t="s">
        <v>375</v>
      </c>
      <c r="D56" s="115"/>
    </row>
    <row r="57">
      <c r="A57" s="114"/>
      <c r="C57" s="112" t="s">
        <v>376</v>
      </c>
      <c r="D57" s="115"/>
    </row>
    <row r="58">
      <c r="A58" s="114"/>
      <c r="C58" s="112" t="s">
        <v>377</v>
      </c>
      <c r="D58" s="115"/>
    </row>
    <row r="59">
      <c r="A59" s="114"/>
      <c r="C59" s="112" t="s">
        <v>378</v>
      </c>
      <c r="D59" s="115"/>
    </row>
    <row r="60">
      <c r="A60" s="114"/>
      <c r="C60" s="112" t="s">
        <v>379</v>
      </c>
      <c r="D60" s="115"/>
    </row>
    <row r="61">
      <c r="A61" s="114"/>
      <c r="C61" s="112" t="s">
        <v>380</v>
      </c>
      <c r="D61" s="115"/>
    </row>
    <row r="62">
      <c r="A62" s="114"/>
      <c r="C62" s="112" t="s">
        <v>381</v>
      </c>
      <c r="D62" s="115"/>
    </row>
    <row r="63">
      <c r="A63" s="114"/>
      <c r="C63" s="112" t="s">
        <v>382</v>
      </c>
      <c r="D63" s="115"/>
    </row>
    <row r="64">
      <c r="A64" s="114"/>
      <c r="C64" s="112" t="s">
        <v>383</v>
      </c>
      <c r="D64" s="115"/>
    </row>
    <row r="65">
      <c r="A65" s="114"/>
      <c r="C65" s="112" t="s">
        <v>384</v>
      </c>
      <c r="D65" s="115"/>
    </row>
    <row r="66">
      <c r="A66" s="114"/>
      <c r="C66" s="112" t="s">
        <v>385</v>
      </c>
      <c r="D66" s="115"/>
    </row>
    <row r="67">
      <c r="A67" s="114"/>
      <c r="C67" s="112" t="s">
        <v>386</v>
      </c>
      <c r="D67" s="115"/>
    </row>
    <row r="68">
      <c r="A68" s="114"/>
      <c r="C68" s="112" t="s">
        <v>387</v>
      </c>
      <c r="D68" s="115"/>
    </row>
    <row r="69">
      <c r="A69" s="114"/>
      <c r="C69" s="112" t="s">
        <v>388</v>
      </c>
      <c r="D69" s="115"/>
    </row>
    <row r="70">
      <c r="A70" s="114"/>
      <c r="C70" s="112" t="s">
        <v>389</v>
      </c>
      <c r="D70" s="115"/>
    </row>
    <row r="71">
      <c r="A71" s="114"/>
      <c r="C71" s="112" t="s">
        <v>390</v>
      </c>
      <c r="D71" s="115"/>
    </row>
    <row r="72">
      <c r="A72" s="114"/>
      <c r="C72" s="112" t="s">
        <v>391</v>
      </c>
      <c r="D72" s="115"/>
    </row>
    <row r="73">
      <c r="A73" s="114"/>
      <c r="C73" s="112" t="s">
        <v>392</v>
      </c>
      <c r="D73" s="115"/>
    </row>
    <row r="74">
      <c r="A74" s="114"/>
      <c r="C74" s="112" t="s">
        <v>393</v>
      </c>
      <c r="D74" s="115"/>
    </row>
    <row r="75">
      <c r="A75" s="114"/>
      <c r="C75" s="112" t="s">
        <v>394</v>
      </c>
      <c r="D75" s="115"/>
    </row>
    <row r="76">
      <c r="A76" s="114"/>
      <c r="C76" s="112" t="s">
        <v>395</v>
      </c>
      <c r="D76" s="115"/>
    </row>
    <row r="77">
      <c r="A77" s="114"/>
      <c r="C77" s="112" t="s">
        <v>396</v>
      </c>
      <c r="D77" s="115"/>
    </row>
    <row r="78">
      <c r="A78" s="114"/>
      <c r="C78" s="112" t="s">
        <v>397</v>
      </c>
      <c r="D78" s="115"/>
    </row>
    <row r="79">
      <c r="A79" s="114"/>
      <c r="C79" s="112" t="s">
        <v>398</v>
      </c>
      <c r="D79" s="115"/>
    </row>
    <row r="80">
      <c r="A80" s="114"/>
      <c r="C80" s="112" t="s">
        <v>399</v>
      </c>
      <c r="D80" s="115"/>
    </row>
    <row r="81">
      <c r="A81" s="114"/>
      <c r="C81" s="112" t="s">
        <v>400</v>
      </c>
      <c r="D81" s="115"/>
    </row>
    <row r="82">
      <c r="A82" s="114"/>
      <c r="C82" s="112" t="s">
        <v>401</v>
      </c>
      <c r="D82" s="115"/>
    </row>
    <row r="83">
      <c r="A83" s="114"/>
      <c r="C83" s="112" t="s">
        <v>402</v>
      </c>
      <c r="D83" s="115"/>
    </row>
    <row r="84">
      <c r="A84" s="114"/>
      <c r="C84" s="112" t="s">
        <v>403</v>
      </c>
      <c r="D84" s="115"/>
    </row>
    <row r="85">
      <c r="A85" s="114"/>
      <c r="C85" s="112" t="s">
        <v>404</v>
      </c>
      <c r="D85" s="115"/>
    </row>
    <row r="86">
      <c r="A86" s="114"/>
      <c r="C86" s="112" t="s">
        <v>405</v>
      </c>
      <c r="D86" s="115"/>
    </row>
    <row r="87">
      <c r="A87" s="114"/>
      <c r="C87" s="112" t="s">
        <v>406</v>
      </c>
      <c r="D87" s="115"/>
    </row>
    <row r="88">
      <c r="A88" s="114"/>
      <c r="C88" s="112" t="s">
        <v>407</v>
      </c>
      <c r="D88" s="115"/>
    </row>
    <row r="89">
      <c r="A89" s="114"/>
      <c r="C89" s="112" t="s">
        <v>408</v>
      </c>
      <c r="D89" s="115"/>
    </row>
    <row r="90">
      <c r="A90" s="114"/>
      <c r="C90" s="112" t="s">
        <v>409</v>
      </c>
      <c r="D90" s="115"/>
    </row>
    <row r="91">
      <c r="A91" s="114"/>
      <c r="C91" s="112" t="s">
        <v>410</v>
      </c>
      <c r="D91" s="115"/>
    </row>
    <row r="92">
      <c r="A92" s="114"/>
      <c r="C92" s="112" t="s">
        <v>411</v>
      </c>
      <c r="D92" s="115"/>
    </row>
    <row r="93">
      <c r="A93" s="114"/>
      <c r="C93" s="112" t="s">
        <v>412</v>
      </c>
      <c r="D93" s="115"/>
    </row>
    <row r="94">
      <c r="A94" s="114"/>
      <c r="C94" s="112" t="s">
        <v>413</v>
      </c>
      <c r="D94" s="115"/>
    </row>
    <row r="95">
      <c r="A95" s="114"/>
      <c r="C95" s="112" t="s">
        <v>414</v>
      </c>
      <c r="D95" s="115"/>
    </row>
    <row r="96">
      <c r="A96" s="114"/>
      <c r="C96" s="112" t="s">
        <v>415</v>
      </c>
      <c r="D96" s="115"/>
    </row>
    <row r="97">
      <c r="A97" s="114"/>
      <c r="C97" s="112" t="s">
        <v>416</v>
      </c>
      <c r="D97" s="115"/>
    </row>
    <row r="98">
      <c r="A98" s="114"/>
      <c r="C98" s="112" t="s">
        <v>417</v>
      </c>
      <c r="D98" s="115"/>
    </row>
    <row r="99">
      <c r="A99" s="114"/>
      <c r="C99" s="112" t="s">
        <v>418</v>
      </c>
      <c r="D99" s="115"/>
    </row>
    <row r="100">
      <c r="A100" s="114"/>
      <c r="C100" s="117"/>
      <c r="D100" s="115"/>
    </row>
    <row r="101">
      <c r="A101" s="114"/>
      <c r="C101" s="117"/>
      <c r="D101" s="115"/>
    </row>
    <row r="102">
      <c r="A102" s="114"/>
      <c r="C102" s="117"/>
      <c r="D102" s="115"/>
    </row>
    <row r="103">
      <c r="A103" s="114"/>
      <c r="C103" s="117"/>
      <c r="D103" s="115"/>
    </row>
    <row r="104">
      <c r="A104" s="114"/>
      <c r="C104" s="117"/>
      <c r="D104" s="115"/>
    </row>
    <row r="105">
      <c r="A105" s="114"/>
      <c r="C105" s="117"/>
      <c r="D105" s="115"/>
    </row>
    <row r="106">
      <c r="A106" s="114"/>
      <c r="C106" s="117"/>
      <c r="D106" s="115"/>
    </row>
    <row r="107">
      <c r="A107" s="114"/>
      <c r="C107" s="117"/>
      <c r="D107" s="115"/>
    </row>
    <row r="108">
      <c r="A108" s="114"/>
      <c r="C108" s="117"/>
      <c r="D108" s="115"/>
    </row>
    <row r="109">
      <c r="A109" s="114"/>
      <c r="C109" s="117"/>
      <c r="D109" s="115"/>
    </row>
    <row r="110">
      <c r="A110" s="114"/>
      <c r="C110" s="117"/>
      <c r="D110" s="115"/>
    </row>
    <row r="111">
      <c r="A111" s="114"/>
      <c r="C111" s="117"/>
      <c r="D111" s="115"/>
    </row>
    <row r="112">
      <c r="A112" s="114"/>
      <c r="C112" s="117"/>
      <c r="D112" s="115"/>
    </row>
    <row r="113">
      <c r="A113" s="114"/>
      <c r="C113" s="117"/>
      <c r="D113" s="115"/>
    </row>
    <row r="114">
      <c r="A114" s="114"/>
      <c r="C114" s="117"/>
      <c r="D114" s="115"/>
    </row>
    <row r="115">
      <c r="A115" s="114"/>
      <c r="C115" s="117"/>
      <c r="D115" s="115"/>
    </row>
    <row r="116">
      <c r="A116" s="114"/>
      <c r="C116" s="117"/>
      <c r="D116" s="115"/>
    </row>
    <row r="117">
      <c r="A117" s="114"/>
      <c r="C117" s="117"/>
      <c r="D117" s="115"/>
    </row>
    <row r="118">
      <c r="A118" s="114"/>
      <c r="C118" s="117"/>
      <c r="D118" s="115"/>
    </row>
    <row r="119">
      <c r="A119" s="114"/>
      <c r="C119" s="117"/>
      <c r="D119" s="115"/>
    </row>
    <row r="120">
      <c r="A120" s="114"/>
      <c r="C120" s="117"/>
      <c r="D120" s="115"/>
    </row>
    <row r="121">
      <c r="A121" s="114"/>
      <c r="C121" s="117"/>
      <c r="D121" s="115"/>
    </row>
    <row r="122">
      <c r="A122" s="114"/>
      <c r="C122" s="117"/>
      <c r="D122" s="115"/>
    </row>
    <row r="123">
      <c r="A123" s="114"/>
      <c r="C123" s="117"/>
      <c r="D123" s="115"/>
    </row>
    <row r="124">
      <c r="A124" s="114"/>
      <c r="C124" s="117"/>
      <c r="D124" s="115"/>
    </row>
    <row r="125">
      <c r="A125" s="114"/>
      <c r="C125" s="117"/>
      <c r="D125" s="115"/>
    </row>
    <row r="126">
      <c r="A126" s="114"/>
      <c r="C126" s="117"/>
      <c r="D126" s="115"/>
    </row>
    <row r="127">
      <c r="A127" s="114"/>
      <c r="C127" s="117"/>
      <c r="D127" s="115"/>
    </row>
    <row r="128">
      <c r="A128" s="114"/>
      <c r="C128" s="117"/>
      <c r="D128" s="115"/>
    </row>
    <row r="129">
      <c r="A129" s="114"/>
      <c r="C129" s="117"/>
      <c r="D129" s="115"/>
    </row>
    <row r="130">
      <c r="A130" s="114"/>
      <c r="C130" s="117"/>
      <c r="D130" s="115"/>
    </row>
    <row r="131">
      <c r="A131" s="114"/>
      <c r="C131" s="117"/>
      <c r="D131" s="115"/>
    </row>
    <row r="132">
      <c r="A132" s="114"/>
      <c r="C132" s="117"/>
      <c r="D132" s="115"/>
    </row>
    <row r="133">
      <c r="A133" s="114"/>
      <c r="C133" s="117"/>
      <c r="D133" s="115"/>
    </row>
    <row r="134">
      <c r="A134" s="114"/>
      <c r="C134" s="117"/>
      <c r="D134" s="115"/>
    </row>
    <row r="135">
      <c r="A135" s="114"/>
      <c r="C135" s="117"/>
      <c r="D135" s="115"/>
    </row>
    <row r="136">
      <c r="A136" s="114"/>
      <c r="C136" s="117"/>
      <c r="D136" s="115"/>
    </row>
    <row r="137">
      <c r="A137" s="114"/>
      <c r="C137" s="117"/>
      <c r="D137" s="115"/>
    </row>
    <row r="138">
      <c r="A138" s="114"/>
      <c r="C138" s="117"/>
      <c r="D138" s="115"/>
    </row>
    <row r="139">
      <c r="A139" s="114"/>
      <c r="C139" s="117"/>
      <c r="D139" s="115"/>
    </row>
    <row r="140">
      <c r="A140" s="114"/>
      <c r="C140" s="117"/>
      <c r="D140" s="115"/>
    </row>
    <row r="141">
      <c r="A141" s="114"/>
      <c r="C141" s="117"/>
      <c r="D141" s="115"/>
    </row>
    <row r="142">
      <c r="A142" s="114"/>
      <c r="C142" s="117"/>
      <c r="D142" s="115"/>
    </row>
    <row r="143">
      <c r="A143" s="114"/>
      <c r="C143" s="117"/>
      <c r="D143" s="115"/>
    </row>
    <row r="144">
      <c r="A144" s="114"/>
      <c r="C144" s="117"/>
      <c r="D144" s="115"/>
    </row>
    <row r="145">
      <c r="A145" s="114"/>
      <c r="C145" s="117"/>
      <c r="D145" s="115"/>
    </row>
    <row r="146">
      <c r="A146" s="114"/>
      <c r="C146" s="117"/>
      <c r="D146" s="115"/>
    </row>
    <row r="147">
      <c r="A147" s="114"/>
      <c r="C147" s="117"/>
      <c r="D147" s="115"/>
    </row>
    <row r="148">
      <c r="A148" s="114"/>
      <c r="C148" s="117"/>
      <c r="D148" s="115"/>
    </row>
    <row r="149">
      <c r="A149" s="114"/>
      <c r="C149" s="117"/>
      <c r="D149" s="115"/>
    </row>
    <row r="150">
      <c r="A150" s="114"/>
      <c r="C150" s="117"/>
      <c r="D150" s="115"/>
    </row>
    <row r="151">
      <c r="A151" s="114"/>
      <c r="C151" s="117"/>
      <c r="D151" s="115"/>
    </row>
    <row r="152">
      <c r="A152" s="114"/>
      <c r="C152" s="117"/>
      <c r="D152" s="115"/>
    </row>
    <row r="153">
      <c r="A153" s="114"/>
      <c r="C153" s="117"/>
      <c r="D153" s="115"/>
    </row>
    <row r="154">
      <c r="A154" s="114"/>
      <c r="C154" s="117"/>
      <c r="D154" s="115"/>
    </row>
    <row r="155">
      <c r="A155" s="114"/>
      <c r="C155" s="117"/>
      <c r="D155" s="115"/>
    </row>
    <row r="156">
      <c r="A156" s="114"/>
      <c r="C156" s="117"/>
      <c r="D156" s="115"/>
    </row>
    <row r="157">
      <c r="A157" s="114"/>
      <c r="C157" s="117"/>
      <c r="D157" s="115"/>
    </row>
    <row r="158">
      <c r="A158" s="114"/>
      <c r="C158" s="117"/>
      <c r="D158" s="115"/>
    </row>
    <row r="159">
      <c r="A159" s="114"/>
      <c r="C159" s="117"/>
      <c r="D159" s="115"/>
    </row>
    <row r="160">
      <c r="A160" s="114"/>
      <c r="C160" s="117"/>
      <c r="D160" s="115"/>
    </row>
    <row r="161">
      <c r="A161" s="114"/>
      <c r="C161" s="117"/>
      <c r="D161" s="115"/>
    </row>
    <row r="162">
      <c r="A162" s="114"/>
      <c r="C162" s="117"/>
      <c r="D162" s="115"/>
    </row>
    <row r="163">
      <c r="A163" s="114"/>
      <c r="C163" s="117"/>
      <c r="D163" s="115"/>
    </row>
    <row r="164">
      <c r="A164" s="114"/>
      <c r="C164" s="117"/>
      <c r="D164" s="115"/>
    </row>
    <row r="165">
      <c r="A165" s="114"/>
      <c r="C165" s="117"/>
      <c r="D165" s="115"/>
    </row>
    <row r="166">
      <c r="A166" s="114"/>
      <c r="C166" s="117"/>
      <c r="D166" s="115"/>
    </row>
    <row r="167">
      <c r="A167" s="114"/>
      <c r="C167" s="117"/>
      <c r="D167" s="115"/>
    </row>
    <row r="168">
      <c r="A168" s="114"/>
      <c r="C168" s="117"/>
      <c r="D168" s="115"/>
    </row>
    <row r="169">
      <c r="A169" s="114"/>
      <c r="C169" s="117"/>
      <c r="D169" s="115"/>
    </row>
    <row r="170">
      <c r="A170" s="114"/>
      <c r="C170" s="117"/>
      <c r="D170" s="115"/>
    </row>
    <row r="171">
      <c r="A171" s="114"/>
      <c r="C171" s="117"/>
      <c r="D171" s="115"/>
    </row>
    <row r="172">
      <c r="A172" s="114"/>
      <c r="C172" s="117"/>
      <c r="D172" s="115"/>
    </row>
    <row r="173">
      <c r="A173" s="114"/>
      <c r="C173" s="117"/>
      <c r="D173" s="115"/>
    </row>
    <row r="174">
      <c r="A174" s="114"/>
      <c r="C174" s="117"/>
      <c r="D174" s="115"/>
    </row>
    <row r="175">
      <c r="A175" s="114"/>
      <c r="C175" s="117"/>
      <c r="D175" s="115"/>
    </row>
    <row r="176">
      <c r="A176" s="114"/>
      <c r="C176" s="117"/>
      <c r="D176" s="115"/>
    </row>
    <row r="177">
      <c r="A177" s="114"/>
      <c r="C177" s="117"/>
      <c r="D177" s="115"/>
    </row>
    <row r="178">
      <c r="A178" s="114"/>
      <c r="C178" s="117"/>
      <c r="D178" s="115"/>
    </row>
    <row r="179">
      <c r="A179" s="114"/>
      <c r="C179" s="117"/>
      <c r="D179" s="115"/>
    </row>
    <row r="180">
      <c r="A180" s="114"/>
      <c r="C180" s="117"/>
      <c r="D180" s="115"/>
    </row>
    <row r="181">
      <c r="A181" s="114"/>
      <c r="C181" s="117"/>
      <c r="D181" s="115"/>
    </row>
    <row r="182">
      <c r="A182" s="114"/>
      <c r="C182" s="117"/>
      <c r="D182" s="115"/>
    </row>
    <row r="183">
      <c r="A183" s="114"/>
      <c r="C183" s="117"/>
      <c r="D183" s="115"/>
    </row>
    <row r="184">
      <c r="A184" s="114"/>
      <c r="C184" s="117"/>
      <c r="D184" s="115"/>
    </row>
    <row r="185">
      <c r="A185" s="114"/>
      <c r="C185" s="117"/>
      <c r="D185" s="115"/>
    </row>
    <row r="186">
      <c r="A186" s="114"/>
      <c r="C186" s="117"/>
      <c r="D186" s="115"/>
    </row>
    <row r="187">
      <c r="A187" s="114"/>
      <c r="C187" s="117"/>
      <c r="D187" s="115"/>
    </row>
    <row r="188">
      <c r="A188" s="114"/>
      <c r="C188" s="117"/>
      <c r="D188" s="115"/>
    </row>
    <row r="189">
      <c r="A189" s="114"/>
      <c r="C189" s="117"/>
      <c r="D189" s="115"/>
    </row>
    <row r="190">
      <c r="A190" s="114"/>
      <c r="C190" s="117"/>
      <c r="D190" s="115"/>
    </row>
    <row r="191">
      <c r="A191" s="114"/>
      <c r="C191" s="117"/>
      <c r="D191" s="115"/>
    </row>
    <row r="192">
      <c r="A192" s="114"/>
      <c r="C192" s="117"/>
      <c r="D192" s="115"/>
    </row>
    <row r="193">
      <c r="A193" s="114"/>
      <c r="C193" s="117"/>
      <c r="D193" s="115"/>
    </row>
    <row r="194">
      <c r="A194" s="114"/>
      <c r="C194" s="117"/>
      <c r="D194" s="115"/>
    </row>
    <row r="195">
      <c r="A195" s="114"/>
      <c r="C195" s="117"/>
      <c r="D195" s="115"/>
    </row>
    <row r="196">
      <c r="A196" s="114"/>
      <c r="C196" s="117"/>
      <c r="D196" s="115"/>
    </row>
    <row r="197">
      <c r="A197" s="114"/>
      <c r="C197" s="117"/>
      <c r="D197" s="115"/>
    </row>
    <row r="198">
      <c r="A198" s="114"/>
      <c r="C198" s="117"/>
      <c r="D198" s="115"/>
    </row>
    <row r="199">
      <c r="A199" s="114"/>
      <c r="C199" s="117"/>
      <c r="D199" s="115"/>
    </row>
    <row r="200">
      <c r="A200" s="114"/>
      <c r="C200" s="117"/>
      <c r="D200" s="115"/>
    </row>
    <row r="201">
      <c r="A201" s="114"/>
      <c r="C201" s="117"/>
      <c r="D201" s="115"/>
    </row>
    <row r="202">
      <c r="A202" s="114"/>
      <c r="C202" s="117"/>
      <c r="D202" s="115"/>
    </row>
    <row r="203">
      <c r="A203" s="114"/>
      <c r="C203" s="117"/>
      <c r="D203" s="115"/>
    </row>
    <row r="204">
      <c r="A204" s="114"/>
      <c r="C204" s="117"/>
      <c r="D204" s="115"/>
    </row>
    <row r="205">
      <c r="A205" s="114"/>
      <c r="C205" s="117"/>
      <c r="D205" s="115"/>
    </row>
    <row r="206">
      <c r="A206" s="114"/>
      <c r="C206" s="117"/>
      <c r="D206" s="115"/>
    </row>
    <row r="207">
      <c r="A207" s="114"/>
      <c r="C207" s="117"/>
      <c r="D207" s="115"/>
    </row>
    <row r="208">
      <c r="A208" s="114"/>
      <c r="C208" s="117"/>
      <c r="D208" s="115"/>
    </row>
    <row r="209">
      <c r="A209" s="114"/>
      <c r="C209" s="117"/>
      <c r="D209" s="115"/>
    </row>
    <row r="210">
      <c r="A210" s="114"/>
      <c r="C210" s="117"/>
      <c r="D210" s="115"/>
    </row>
    <row r="211">
      <c r="A211" s="114"/>
      <c r="C211" s="117"/>
      <c r="D211" s="115"/>
    </row>
    <row r="212">
      <c r="A212" s="114"/>
      <c r="C212" s="117"/>
      <c r="D212" s="115"/>
    </row>
    <row r="213">
      <c r="A213" s="114"/>
      <c r="C213" s="117"/>
      <c r="D213" s="115"/>
    </row>
    <row r="214">
      <c r="A214" s="114"/>
      <c r="C214" s="117"/>
      <c r="D214" s="115"/>
    </row>
    <row r="215">
      <c r="A215" s="114"/>
      <c r="C215" s="117"/>
      <c r="D215" s="115"/>
    </row>
    <row r="216">
      <c r="A216" s="114"/>
      <c r="C216" s="117"/>
      <c r="D216" s="115"/>
    </row>
    <row r="217">
      <c r="A217" s="114"/>
      <c r="C217" s="117"/>
      <c r="D217" s="115"/>
    </row>
    <row r="218">
      <c r="A218" s="114"/>
      <c r="C218" s="117"/>
      <c r="D218" s="115"/>
    </row>
    <row r="219">
      <c r="A219" s="114"/>
      <c r="C219" s="117"/>
      <c r="D219" s="115"/>
    </row>
    <row r="220">
      <c r="A220" s="114"/>
      <c r="C220" s="117"/>
      <c r="D220" s="115"/>
    </row>
    <row r="221">
      <c r="A221" s="114"/>
      <c r="C221" s="117"/>
      <c r="D221" s="115"/>
    </row>
    <row r="222">
      <c r="A222" s="114"/>
      <c r="C222" s="117"/>
      <c r="D222" s="115"/>
    </row>
    <row r="223">
      <c r="A223" s="114"/>
      <c r="C223" s="117"/>
      <c r="D223" s="115"/>
    </row>
    <row r="224">
      <c r="A224" s="114"/>
      <c r="C224" s="117"/>
      <c r="D224" s="115"/>
    </row>
    <row r="225">
      <c r="A225" s="114"/>
      <c r="C225" s="117"/>
      <c r="D225" s="115"/>
    </row>
    <row r="226">
      <c r="A226" s="114"/>
      <c r="C226" s="117"/>
      <c r="D226" s="115"/>
    </row>
    <row r="227">
      <c r="A227" s="114"/>
      <c r="C227" s="117"/>
      <c r="D227" s="115"/>
    </row>
    <row r="228">
      <c r="A228" s="114"/>
      <c r="C228" s="117"/>
      <c r="D228" s="115"/>
    </row>
    <row r="229">
      <c r="A229" s="114"/>
      <c r="C229" s="117"/>
      <c r="D229" s="115"/>
    </row>
    <row r="230">
      <c r="A230" s="114"/>
      <c r="C230" s="117"/>
      <c r="D230" s="115"/>
    </row>
    <row r="231">
      <c r="A231" s="114"/>
      <c r="C231" s="117"/>
      <c r="D231" s="115"/>
    </row>
    <row r="232">
      <c r="A232" s="114"/>
      <c r="C232" s="117"/>
      <c r="D232" s="115"/>
    </row>
    <row r="233">
      <c r="A233" s="114"/>
      <c r="C233" s="117"/>
      <c r="D233" s="115"/>
    </row>
    <row r="234">
      <c r="A234" s="114"/>
      <c r="C234" s="117"/>
      <c r="D234" s="115"/>
    </row>
    <row r="235">
      <c r="A235" s="114"/>
      <c r="C235" s="117"/>
      <c r="D235" s="115"/>
    </row>
    <row r="236">
      <c r="A236" s="114"/>
      <c r="C236" s="117"/>
      <c r="D236" s="115"/>
    </row>
    <row r="237">
      <c r="A237" s="114"/>
      <c r="C237" s="117"/>
      <c r="D237" s="115"/>
    </row>
    <row r="238">
      <c r="A238" s="114"/>
      <c r="C238" s="117"/>
      <c r="D238" s="115"/>
    </row>
    <row r="239">
      <c r="A239" s="114"/>
      <c r="C239" s="117"/>
      <c r="D239" s="115"/>
    </row>
    <row r="240">
      <c r="A240" s="114"/>
      <c r="C240" s="117"/>
      <c r="D240" s="115"/>
    </row>
    <row r="241">
      <c r="A241" s="114"/>
      <c r="C241" s="117"/>
      <c r="D241" s="115"/>
    </row>
    <row r="242">
      <c r="A242" s="114"/>
      <c r="C242" s="117"/>
      <c r="D242" s="115"/>
    </row>
    <row r="243">
      <c r="A243" s="114"/>
      <c r="C243" s="117"/>
      <c r="D243" s="115"/>
    </row>
    <row r="244">
      <c r="A244" s="114"/>
      <c r="C244" s="117"/>
      <c r="D244" s="115"/>
    </row>
    <row r="245">
      <c r="A245" s="114"/>
      <c r="C245" s="117"/>
      <c r="D245" s="115"/>
    </row>
    <row r="246">
      <c r="A246" s="114"/>
      <c r="C246" s="117"/>
      <c r="D246" s="115"/>
    </row>
    <row r="247">
      <c r="A247" s="114"/>
      <c r="C247" s="117"/>
      <c r="D247" s="115"/>
    </row>
    <row r="248">
      <c r="A248" s="114"/>
      <c r="C248" s="117"/>
      <c r="D248" s="115"/>
    </row>
    <row r="249">
      <c r="A249" s="114"/>
      <c r="C249" s="117"/>
      <c r="D249" s="115"/>
    </row>
    <row r="250">
      <c r="A250" s="114"/>
      <c r="C250" s="117"/>
      <c r="D250" s="115"/>
    </row>
    <row r="251">
      <c r="A251" s="114"/>
      <c r="C251" s="117"/>
      <c r="D251" s="115"/>
    </row>
    <row r="252">
      <c r="A252" s="114"/>
      <c r="C252" s="117"/>
      <c r="D252" s="115"/>
    </row>
    <row r="253">
      <c r="A253" s="114"/>
      <c r="C253" s="117"/>
      <c r="D253" s="115"/>
    </row>
    <row r="254">
      <c r="A254" s="114"/>
      <c r="C254" s="117"/>
      <c r="D254" s="115"/>
    </row>
    <row r="255">
      <c r="A255" s="114"/>
      <c r="C255" s="117"/>
      <c r="D255" s="115"/>
    </row>
    <row r="256">
      <c r="A256" s="114"/>
      <c r="C256" s="117"/>
      <c r="D256" s="115"/>
    </row>
    <row r="257">
      <c r="A257" s="114"/>
      <c r="C257" s="117"/>
      <c r="D257" s="115"/>
    </row>
    <row r="258">
      <c r="A258" s="114"/>
      <c r="C258" s="117"/>
      <c r="D258" s="115"/>
    </row>
    <row r="259">
      <c r="A259" s="114"/>
      <c r="C259" s="117"/>
      <c r="D259" s="115"/>
    </row>
    <row r="260">
      <c r="A260" s="114"/>
      <c r="C260" s="117"/>
      <c r="D260" s="115"/>
    </row>
    <row r="261">
      <c r="A261" s="114"/>
      <c r="C261" s="117"/>
      <c r="D261" s="115"/>
    </row>
    <row r="262">
      <c r="A262" s="114"/>
      <c r="C262" s="117"/>
      <c r="D262" s="115"/>
    </row>
    <row r="263">
      <c r="A263" s="114"/>
      <c r="C263" s="117"/>
      <c r="D263" s="115"/>
    </row>
    <row r="264">
      <c r="A264" s="114"/>
      <c r="C264" s="117"/>
      <c r="D264" s="115"/>
    </row>
    <row r="265">
      <c r="A265" s="114"/>
      <c r="C265" s="117"/>
      <c r="D265" s="115"/>
    </row>
    <row r="266">
      <c r="A266" s="114"/>
      <c r="C266" s="117"/>
      <c r="D266" s="115"/>
    </row>
    <row r="267">
      <c r="A267" s="114"/>
      <c r="C267" s="117"/>
      <c r="D267" s="115"/>
    </row>
    <row r="268">
      <c r="A268" s="114"/>
      <c r="C268" s="117"/>
      <c r="D268" s="115"/>
    </row>
    <row r="269">
      <c r="A269" s="114"/>
      <c r="C269" s="117"/>
      <c r="D269" s="115"/>
    </row>
    <row r="270">
      <c r="A270" s="114"/>
      <c r="C270" s="117"/>
      <c r="D270" s="115"/>
    </row>
    <row r="271">
      <c r="A271" s="114"/>
      <c r="C271" s="117"/>
      <c r="D271" s="115"/>
    </row>
    <row r="272">
      <c r="A272" s="114"/>
      <c r="C272" s="117"/>
      <c r="D272" s="115"/>
    </row>
    <row r="273">
      <c r="A273" s="114"/>
      <c r="C273" s="117"/>
      <c r="D273" s="115"/>
    </row>
    <row r="274">
      <c r="A274" s="114"/>
      <c r="C274" s="117"/>
      <c r="D274" s="115"/>
    </row>
    <row r="275">
      <c r="A275" s="114"/>
      <c r="C275" s="117"/>
      <c r="D275" s="115"/>
    </row>
    <row r="276">
      <c r="A276" s="114"/>
      <c r="C276" s="117"/>
      <c r="D276" s="115"/>
    </row>
    <row r="277">
      <c r="A277" s="114"/>
      <c r="C277" s="117"/>
      <c r="D277" s="115"/>
    </row>
    <row r="278">
      <c r="A278" s="114"/>
      <c r="C278" s="117"/>
      <c r="D278" s="115"/>
    </row>
    <row r="279">
      <c r="A279" s="114"/>
      <c r="C279" s="117"/>
      <c r="D279" s="115"/>
    </row>
    <row r="280">
      <c r="A280" s="114"/>
      <c r="C280" s="117"/>
      <c r="D280" s="115"/>
    </row>
    <row r="281">
      <c r="A281" s="114"/>
      <c r="C281" s="117"/>
      <c r="D281" s="115"/>
    </row>
    <row r="282">
      <c r="A282" s="114"/>
      <c r="C282" s="117"/>
      <c r="D282" s="115"/>
    </row>
    <row r="283">
      <c r="A283" s="114"/>
      <c r="C283" s="117"/>
      <c r="D283" s="115"/>
    </row>
    <row r="284">
      <c r="A284" s="114"/>
      <c r="C284" s="117"/>
      <c r="D284" s="115"/>
    </row>
    <row r="285">
      <c r="A285" s="114"/>
      <c r="C285" s="117"/>
      <c r="D285" s="115"/>
    </row>
    <row r="286">
      <c r="A286" s="114"/>
      <c r="C286" s="117"/>
      <c r="D286" s="115"/>
    </row>
    <row r="287">
      <c r="A287" s="114"/>
      <c r="C287" s="117"/>
      <c r="D287" s="115"/>
    </row>
    <row r="288">
      <c r="A288" s="114"/>
      <c r="C288" s="117"/>
      <c r="D288" s="115"/>
    </row>
    <row r="289">
      <c r="A289" s="114"/>
      <c r="C289" s="117"/>
      <c r="D289" s="115"/>
    </row>
    <row r="290">
      <c r="A290" s="114"/>
      <c r="C290" s="117"/>
      <c r="D290" s="115"/>
    </row>
    <row r="291">
      <c r="A291" s="114"/>
      <c r="C291" s="117"/>
      <c r="D291" s="115"/>
    </row>
    <row r="292">
      <c r="A292" s="114"/>
      <c r="C292" s="117"/>
      <c r="D292" s="115"/>
    </row>
    <row r="293">
      <c r="A293" s="114"/>
      <c r="C293" s="117"/>
      <c r="D293" s="115"/>
    </row>
    <row r="294">
      <c r="A294" s="114"/>
      <c r="C294" s="117"/>
      <c r="D294" s="115"/>
    </row>
    <row r="295">
      <c r="A295" s="114"/>
      <c r="C295" s="117"/>
      <c r="D295" s="115"/>
    </row>
    <row r="296">
      <c r="A296" s="114"/>
      <c r="C296" s="117"/>
      <c r="D296" s="115"/>
    </row>
    <row r="297">
      <c r="A297" s="114"/>
      <c r="C297" s="117"/>
      <c r="D297" s="115"/>
    </row>
    <row r="298">
      <c r="A298" s="114"/>
      <c r="C298" s="117"/>
      <c r="D298" s="115"/>
    </row>
    <row r="299">
      <c r="A299" s="114"/>
      <c r="C299" s="117"/>
      <c r="D299" s="115"/>
    </row>
    <row r="300">
      <c r="A300" s="114"/>
      <c r="C300" s="117"/>
      <c r="D300" s="115"/>
    </row>
    <row r="301">
      <c r="A301" s="114"/>
      <c r="C301" s="117"/>
      <c r="D301" s="115"/>
    </row>
    <row r="302">
      <c r="A302" s="114"/>
      <c r="C302" s="117"/>
      <c r="D302" s="115"/>
    </row>
    <row r="303">
      <c r="A303" s="114"/>
      <c r="C303" s="117"/>
      <c r="D303" s="115"/>
    </row>
    <row r="304">
      <c r="A304" s="114"/>
      <c r="C304" s="117"/>
      <c r="D304" s="115"/>
    </row>
    <row r="305">
      <c r="A305" s="114"/>
      <c r="C305" s="117"/>
      <c r="D305" s="115"/>
    </row>
    <row r="306">
      <c r="A306" s="114"/>
      <c r="C306" s="117"/>
      <c r="D306" s="115"/>
    </row>
    <row r="307">
      <c r="A307" s="114"/>
      <c r="C307" s="117"/>
      <c r="D307" s="115"/>
    </row>
    <row r="308">
      <c r="A308" s="114"/>
      <c r="C308" s="117"/>
      <c r="D308" s="115"/>
    </row>
    <row r="309">
      <c r="A309" s="114"/>
      <c r="C309" s="117"/>
      <c r="D309" s="115"/>
    </row>
    <row r="310">
      <c r="A310" s="114"/>
      <c r="C310" s="117"/>
      <c r="D310" s="115"/>
    </row>
    <row r="311">
      <c r="A311" s="114"/>
      <c r="C311" s="117"/>
      <c r="D311" s="115"/>
    </row>
    <row r="312">
      <c r="A312" s="114"/>
      <c r="C312" s="117"/>
      <c r="D312" s="115"/>
    </row>
    <row r="313">
      <c r="A313" s="114"/>
      <c r="C313" s="117"/>
      <c r="D313" s="115"/>
    </row>
    <row r="314">
      <c r="A314" s="114"/>
      <c r="C314" s="117"/>
      <c r="D314" s="115"/>
    </row>
    <row r="315">
      <c r="A315" s="114"/>
      <c r="C315" s="117"/>
      <c r="D315" s="115"/>
    </row>
    <row r="316">
      <c r="A316" s="114"/>
      <c r="C316" s="117"/>
      <c r="D316" s="115"/>
    </row>
    <row r="317">
      <c r="A317" s="114"/>
      <c r="C317" s="117"/>
      <c r="D317" s="115"/>
    </row>
    <row r="318">
      <c r="A318" s="114"/>
      <c r="C318" s="117"/>
      <c r="D318" s="115"/>
    </row>
    <row r="319">
      <c r="A319" s="114"/>
      <c r="C319" s="117"/>
      <c r="D319" s="115"/>
    </row>
    <row r="320">
      <c r="A320" s="114"/>
      <c r="C320" s="117"/>
      <c r="D320" s="115"/>
    </row>
    <row r="321">
      <c r="A321" s="114"/>
      <c r="C321" s="117"/>
      <c r="D321" s="115"/>
    </row>
    <row r="322">
      <c r="A322" s="114"/>
      <c r="C322" s="117"/>
      <c r="D322" s="115"/>
    </row>
    <row r="323">
      <c r="A323" s="114"/>
      <c r="C323" s="117"/>
      <c r="D323" s="115"/>
    </row>
    <row r="324">
      <c r="A324" s="114"/>
      <c r="C324" s="117"/>
      <c r="D324" s="115"/>
    </row>
    <row r="325">
      <c r="A325" s="114"/>
      <c r="C325" s="117"/>
      <c r="D325" s="115"/>
    </row>
    <row r="326">
      <c r="A326" s="114"/>
      <c r="C326" s="117"/>
      <c r="D326" s="115"/>
    </row>
    <row r="327">
      <c r="A327" s="114"/>
      <c r="C327" s="117"/>
      <c r="D327" s="115"/>
    </row>
    <row r="328">
      <c r="A328" s="114"/>
      <c r="C328" s="117"/>
      <c r="D328" s="115"/>
    </row>
    <row r="329">
      <c r="A329" s="114"/>
      <c r="C329" s="117"/>
      <c r="D329" s="115"/>
    </row>
    <row r="330">
      <c r="A330" s="114"/>
      <c r="C330" s="117"/>
      <c r="D330" s="115"/>
    </row>
    <row r="331">
      <c r="A331" s="114"/>
      <c r="C331" s="117"/>
      <c r="D331" s="115"/>
    </row>
    <row r="332">
      <c r="A332" s="114"/>
      <c r="C332" s="117"/>
      <c r="D332" s="115"/>
    </row>
    <row r="333">
      <c r="A333" s="114"/>
      <c r="C333" s="117"/>
      <c r="D333" s="115"/>
    </row>
    <row r="334">
      <c r="A334" s="114"/>
      <c r="C334" s="117"/>
      <c r="D334" s="115"/>
    </row>
    <row r="335">
      <c r="A335" s="114"/>
      <c r="C335" s="117"/>
      <c r="D335" s="115"/>
    </row>
    <row r="336">
      <c r="A336" s="114"/>
      <c r="C336" s="117"/>
      <c r="D336" s="115"/>
    </row>
    <row r="337">
      <c r="A337" s="114"/>
      <c r="C337" s="117"/>
      <c r="D337" s="115"/>
    </row>
    <row r="338">
      <c r="A338" s="114"/>
      <c r="C338" s="117"/>
      <c r="D338" s="115"/>
    </row>
    <row r="339">
      <c r="A339" s="114"/>
      <c r="C339" s="117"/>
      <c r="D339" s="115"/>
    </row>
    <row r="340">
      <c r="A340" s="114"/>
      <c r="C340" s="117"/>
      <c r="D340" s="115"/>
    </row>
    <row r="341">
      <c r="A341" s="114"/>
      <c r="C341" s="117"/>
      <c r="D341" s="115"/>
    </row>
    <row r="342">
      <c r="A342" s="114"/>
      <c r="C342" s="117"/>
      <c r="D342" s="115"/>
    </row>
    <row r="343">
      <c r="A343" s="114"/>
      <c r="C343" s="117"/>
      <c r="D343" s="115"/>
    </row>
    <row r="344">
      <c r="A344" s="114"/>
      <c r="C344" s="117"/>
      <c r="D344" s="115"/>
    </row>
    <row r="345">
      <c r="A345" s="114"/>
      <c r="C345" s="117"/>
      <c r="D345" s="115"/>
    </row>
    <row r="346">
      <c r="A346" s="114"/>
      <c r="C346" s="117"/>
      <c r="D346" s="115"/>
    </row>
    <row r="347">
      <c r="A347" s="114"/>
      <c r="C347" s="117"/>
      <c r="D347" s="115"/>
    </row>
    <row r="348">
      <c r="A348" s="114"/>
      <c r="C348" s="117"/>
      <c r="D348" s="115"/>
    </row>
    <row r="349">
      <c r="A349" s="114"/>
      <c r="C349" s="117"/>
      <c r="D349" s="115"/>
    </row>
    <row r="350">
      <c r="A350" s="114"/>
      <c r="C350" s="117"/>
      <c r="D350" s="115"/>
    </row>
    <row r="351">
      <c r="A351" s="114"/>
      <c r="C351" s="117"/>
      <c r="D351" s="115"/>
    </row>
    <row r="352">
      <c r="A352" s="114"/>
      <c r="C352" s="117"/>
      <c r="D352" s="115"/>
    </row>
    <row r="353">
      <c r="A353" s="114"/>
      <c r="C353" s="117"/>
      <c r="D353" s="115"/>
    </row>
    <row r="354">
      <c r="A354" s="114"/>
      <c r="C354" s="117"/>
      <c r="D354" s="115"/>
    </row>
    <row r="355">
      <c r="A355" s="114"/>
      <c r="C355" s="117"/>
      <c r="D355" s="115"/>
    </row>
    <row r="356">
      <c r="A356" s="114"/>
      <c r="C356" s="117"/>
      <c r="D356" s="115"/>
    </row>
    <row r="357">
      <c r="A357" s="114"/>
      <c r="C357" s="117"/>
      <c r="D357" s="115"/>
    </row>
    <row r="358">
      <c r="A358" s="114"/>
      <c r="C358" s="117"/>
      <c r="D358" s="115"/>
    </row>
    <row r="359">
      <c r="A359" s="114"/>
      <c r="C359" s="117"/>
      <c r="D359" s="115"/>
    </row>
    <row r="360">
      <c r="A360" s="114"/>
      <c r="C360" s="117"/>
      <c r="D360" s="115"/>
    </row>
    <row r="361">
      <c r="A361" s="114"/>
      <c r="C361" s="117"/>
      <c r="D361" s="115"/>
    </row>
    <row r="362">
      <c r="A362" s="114"/>
      <c r="C362" s="117"/>
      <c r="D362" s="115"/>
    </row>
    <row r="363">
      <c r="A363" s="114"/>
      <c r="C363" s="117"/>
      <c r="D363" s="115"/>
    </row>
    <row r="364">
      <c r="A364" s="114"/>
      <c r="C364" s="117"/>
      <c r="D364" s="115"/>
    </row>
    <row r="365">
      <c r="A365" s="114"/>
      <c r="C365" s="117"/>
      <c r="D365" s="115"/>
    </row>
    <row r="366">
      <c r="A366" s="114"/>
      <c r="C366" s="117"/>
      <c r="D366" s="115"/>
    </row>
    <row r="367">
      <c r="A367" s="114"/>
      <c r="C367" s="117"/>
      <c r="D367" s="115"/>
    </row>
    <row r="368">
      <c r="A368" s="114"/>
      <c r="C368" s="117"/>
      <c r="D368" s="115"/>
    </row>
    <row r="369">
      <c r="A369" s="114"/>
      <c r="C369" s="117"/>
      <c r="D369" s="115"/>
    </row>
    <row r="370">
      <c r="A370" s="114"/>
      <c r="C370" s="117"/>
      <c r="D370" s="115"/>
    </row>
    <row r="371">
      <c r="A371" s="114"/>
      <c r="C371" s="117"/>
      <c r="D371" s="115"/>
    </row>
    <row r="372">
      <c r="A372" s="114"/>
      <c r="C372" s="117"/>
      <c r="D372" s="115"/>
    </row>
    <row r="373">
      <c r="A373" s="114"/>
      <c r="C373" s="117"/>
      <c r="D373" s="115"/>
    </row>
    <row r="374">
      <c r="A374" s="114"/>
      <c r="C374" s="117"/>
      <c r="D374" s="115"/>
    </row>
    <row r="375">
      <c r="A375" s="114"/>
      <c r="C375" s="117"/>
      <c r="D375" s="115"/>
    </row>
    <row r="376">
      <c r="A376" s="114"/>
      <c r="C376" s="117"/>
      <c r="D376" s="115"/>
    </row>
    <row r="377">
      <c r="A377" s="114"/>
      <c r="C377" s="117"/>
      <c r="D377" s="115"/>
    </row>
    <row r="378">
      <c r="A378" s="114"/>
      <c r="C378" s="117"/>
      <c r="D378" s="115"/>
    </row>
    <row r="379">
      <c r="A379" s="114"/>
      <c r="C379" s="117"/>
      <c r="D379" s="115"/>
    </row>
    <row r="380">
      <c r="A380" s="114"/>
      <c r="C380" s="117"/>
      <c r="D380" s="115"/>
    </row>
    <row r="381">
      <c r="A381" s="114"/>
      <c r="C381" s="117"/>
      <c r="D381" s="115"/>
    </row>
    <row r="382">
      <c r="A382" s="114"/>
      <c r="C382" s="117"/>
      <c r="D382" s="115"/>
    </row>
    <row r="383">
      <c r="A383" s="114"/>
      <c r="C383" s="117"/>
      <c r="D383" s="115"/>
    </row>
    <row r="384">
      <c r="A384" s="114"/>
      <c r="C384" s="117"/>
      <c r="D384" s="115"/>
    </row>
    <row r="385">
      <c r="A385" s="114"/>
      <c r="C385" s="117"/>
      <c r="D385" s="115"/>
    </row>
    <row r="386">
      <c r="A386" s="114"/>
      <c r="C386" s="117"/>
      <c r="D386" s="115"/>
    </row>
    <row r="387">
      <c r="A387" s="114"/>
      <c r="C387" s="117"/>
      <c r="D387" s="115"/>
    </row>
    <row r="388">
      <c r="A388" s="114"/>
      <c r="C388" s="117"/>
      <c r="D388" s="115"/>
    </row>
    <row r="389">
      <c r="A389" s="114"/>
      <c r="C389" s="117"/>
      <c r="D389" s="115"/>
    </row>
    <row r="390">
      <c r="A390" s="114"/>
      <c r="C390" s="117"/>
      <c r="D390" s="115"/>
    </row>
    <row r="391">
      <c r="A391" s="114"/>
      <c r="C391" s="117"/>
      <c r="D391" s="115"/>
    </row>
    <row r="392">
      <c r="A392" s="114"/>
      <c r="C392" s="117"/>
      <c r="D392" s="115"/>
    </row>
    <row r="393">
      <c r="A393" s="114"/>
      <c r="C393" s="117"/>
      <c r="D393" s="115"/>
    </row>
    <row r="394">
      <c r="A394" s="114"/>
      <c r="C394" s="117"/>
      <c r="D394" s="115"/>
    </row>
    <row r="395">
      <c r="A395" s="114"/>
      <c r="C395" s="117"/>
      <c r="D395" s="115"/>
    </row>
    <row r="396">
      <c r="A396" s="114"/>
      <c r="C396" s="117"/>
      <c r="D396" s="115"/>
    </row>
    <row r="397">
      <c r="A397" s="114"/>
      <c r="C397" s="117"/>
      <c r="D397" s="115"/>
    </row>
    <row r="398">
      <c r="A398" s="114"/>
      <c r="C398" s="117"/>
      <c r="D398" s="115"/>
    </row>
    <row r="399">
      <c r="A399" s="114"/>
      <c r="C399" s="117"/>
      <c r="D399" s="115"/>
    </row>
    <row r="400">
      <c r="A400" s="114"/>
      <c r="C400" s="117"/>
      <c r="D400" s="115"/>
    </row>
    <row r="401">
      <c r="A401" s="114"/>
      <c r="C401" s="117"/>
      <c r="D401" s="115"/>
    </row>
    <row r="402">
      <c r="A402" s="114"/>
      <c r="C402" s="117"/>
      <c r="D402" s="115"/>
    </row>
    <row r="403">
      <c r="A403" s="114"/>
      <c r="C403" s="117"/>
      <c r="D403" s="115"/>
    </row>
    <row r="404">
      <c r="A404" s="114"/>
      <c r="C404" s="117"/>
      <c r="D404" s="115"/>
    </row>
    <row r="405">
      <c r="A405" s="114"/>
      <c r="C405" s="117"/>
      <c r="D405" s="115"/>
    </row>
    <row r="406">
      <c r="A406" s="114"/>
      <c r="C406" s="117"/>
      <c r="D406" s="115"/>
    </row>
    <row r="407">
      <c r="A407" s="114"/>
      <c r="C407" s="117"/>
      <c r="D407" s="115"/>
    </row>
    <row r="408">
      <c r="A408" s="114"/>
      <c r="C408" s="117"/>
      <c r="D408" s="115"/>
    </row>
    <row r="409">
      <c r="A409" s="114"/>
      <c r="C409" s="117"/>
      <c r="D409" s="115"/>
    </row>
    <row r="410">
      <c r="A410" s="114"/>
      <c r="C410" s="117"/>
      <c r="D410" s="115"/>
    </row>
    <row r="411">
      <c r="A411" s="114"/>
      <c r="C411" s="117"/>
      <c r="D411" s="115"/>
    </row>
    <row r="412">
      <c r="A412" s="114"/>
      <c r="C412" s="117"/>
      <c r="D412" s="115"/>
    </row>
    <row r="413">
      <c r="A413" s="114"/>
      <c r="C413" s="117"/>
      <c r="D413" s="115"/>
    </row>
    <row r="414">
      <c r="A414" s="114"/>
      <c r="C414" s="117"/>
      <c r="D414" s="115"/>
    </row>
    <row r="415">
      <c r="A415" s="114"/>
      <c r="C415" s="117"/>
      <c r="D415" s="115"/>
    </row>
    <row r="416">
      <c r="A416" s="114"/>
      <c r="C416" s="117"/>
      <c r="D416" s="115"/>
    </row>
    <row r="417">
      <c r="A417" s="114"/>
      <c r="C417" s="117"/>
      <c r="D417" s="115"/>
    </row>
    <row r="418">
      <c r="A418" s="114"/>
      <c r="C418" s="117"/>
      <c r="D418" s="115"/>
    </row>
    <row r="419">
      <c r="A419" s="114"/>
      <c r="C419" s="117"/>
      <c r="D419" s="115"/>
    </row>
    <row r="420">
      <c r="A420" s="114"/>
      <c r="C420" s="117"/>
      <c r="D420" s="115"/>
    </row>
    <row r="421">
      <c r="A421" s="114"/>
      <c r="C421" s="117"/>
      <c r="D421" s="115"/>
    </row>
    <row r="422">
      <c r="A422" s="114"/>
      <c r="C422" s="117"/>
      <c r="D422" s="115"/>
    </row>
    <row r="423">
      <c r="A423" s="114"/>
      <c r="C423" s="117"/>
      <c r="D423" s="115"/>
    </row>
    <row r="424">
      <c r="A424" s="114"/>
      <c r="C424" s="117"/>
      <c r="D424" s="115"/>
    </row>
    <row r="425">
      <c r="A425" s="114"/>
      <c r="C425" s="117"/>
      <c r="D425" s="115"/>
    </row>
    <row r="426">
      <c r="A426" s="114"/>
      <c r="C426" s="117"/>
      <c r="D426" s="115"/>
    </row>
    <row r="427">
      <c r="A427" s="114"/>
      <c r="C427" s="117"/>
      <c r="D427" s="115"/>
    </row>
    <row r="428">
      <c r="A428" s="114"/>
      <c r="C428" s="117"/>
      <c r="D428" s="115"/>
    </row>
    <row r="429">
      <c r="A429" s="114"/>
      <c r="C429" s="117"/>
      <c r="D429" s="115"/>
    </row>
    <row r="430">
      <c r="A430" s="114"/>
      <c r="C430" s="117"/>
      <c r="D430" s="115"/>
    </row>
    <row r="431">
      <c r="A431" s="114"/>
      <c r="C431" s="117"/>
      <c r="D431" s="115"/>
    </row>
    <row r="432">
      <c r="A432" s="114"/>
      <c r="C432" s="117"/>
      <c r="D432" s="115"/>
    </row>
    <row r="433">
      <c r="A433" s="114"/>
      <c r="C433" s="117"/>
      <c r="D433" s="115"/>
    </row>
    <row r="434">
      <c r="A434" s="114"/>
      <c r="C434" s="117"/>
      <c r="D434" s="115"/>
    </row>
    <row r="435">
      <c r="A435" s="114"/>
      <c r="C435" s="117"/>
      <c r="D435" s="115"/>
    </row>
    <row r="436">
      <c r="A436" s="114"/>
      <c r="C436" s="117"/>
      <c r="D436" s="115"/>
    </row>
    <row r="437">
      <c r="A437" s="114"/>
      <c r="C437" s="117"/>
      <c r="D437" s="115"/>
    </row>
    <row r="438">
      <c r="A438" s="114"/>
      <c r="C438" s="117"/>
      <c r="D438" s="115"/>
    </row>
    <row r="439">
      <c r="A439" s="114"/>
      <c r="C439" s="117"/>
      <c r="D439" s="115"/>
    </row>
    <row r="440">
      <c r="A440" s="114"/>
      <c r="C440" s="117"/>
      <c r="D440" s="115"/>
    </row>
    <row r="441">
      <c r="A441" s="114"/>
      <c r="C441" s="117"/>
      <c r="D441" s="115"/>
    </row>
    <row r="442">
      <c r="A442" s="114"/>
      <c r="C442" s="117"/>
      <c r="D442" s="115"/>
    </row>
    <row r="443">
      <c r="A443" s="114"/>
      <c r="C443" s="117"/>
      <c r="D443" s="115"/>
    </row>
    <row r="444">
      <c r="A444" s="114"/>
      <c r="C444" s="117"/>
      <c r="D444" s="115"/>
    </row>
    <row r="445">
      <c r="A445" s="114"/>
      <c r="C445" s="117"/>
      <c r="D445" s="115"/>
    </row>
    <row r="446">
      <c r="A446" s="114"/>
      <c r="C446" s="117"/>
      <c r="D446" s="115"/>
    </row>
    <row r="447">
      <c r="A447" s="114"/>
      <c r="C447" s="117"/>
      <c r="D447" s="115"/>
    </row>
    <row r="448">
      <c r="A448" s="114"/>
      <c r="C448" s="117"/>
      <c r="D448" s="115"/>
    </row>
    <row r="449">
      <c r="A449" s="114"/>
      <c r="C449" s="117"/>
      <c r="D449" s="115"/>
    </row>
    <row r="450">
      <c r="A450" s="114"/>
      <c r="C450" s="117"/>
      <c r="D450" s="115"/>
    </row>
    <row r="451">
      <c r="A451" s="114"/>
      <c r="C451" s="117"/>
      <c r="D451" s="115"/>
    </row>
    <row r="452">
      <c r="A452" s="114"/>
      <c r="C452" s="117"/>
      <c r="D452" s="115"/>
    </row>
    <row r="453">
      <c r="A453" s="114"/>
      <c r="C453" s="117"/>
      <c r="D453" s="115"/>
    </row>
    <row r="454">
      <c r="A454" s="114"/>
      <c r="C454" s="117"/>
      <c r="D454" s="115"/>
    </row>
    <row r="455">
      <c r="A455" s="114"/>
      <c r="C455" s="117"/>
      <c r="D455" s="115"/>
    </row>
    <row r="456">
      <c r="A456" s="114"/>
      <c r="C456" s="117"/>
      <c r="D456" s="115"/>
    </row>
    <row r="457">
      <c r="A457" s="114"/>
      <c r="C457" s="117"/>
      <c r="D457" s="115"/>
    </row>
    <row r="458">
      <c r="A458" s="114"/>
      <c r="C458" s="117"/>
      <c r="D458" s="115"/>
    </row>
    <row r="459">
      <c r="A459" s="114"/>
      <c r="C459" s="117"/>
      <c r="D459" s="115"/>
    </row>
    <row r="460">
      <c r="A460" s="114"/>
      <c r="C460" s="117"/>
      <c r="D460" s="115"/>
    </row>
    <row r="461">
      <c r="A461" s="114"/>
      <c r="C461" s="117"/>
      <c r="D461" s="115"/>
    </row>
    <row r="462">
      <c r="A462" s="114"/>
      <c r="C462" s="117"/>
      <c r="D462" s="115"/>
    </row>
    <row r="463">
      <c r="A463" s="114"/>
      <c r="C463" s="117"/>
      <c r="D463" s="115"/>
    </row>
    <row r="464">
      <c r="A464" s="114"/>
      <c r="C464" s="117"/>
      <c r="D464" s="115"/>
    </row>
    <row r="465">
      <c r="A465" s="114"/>
      <c r="C465" s="117"/>
      <c r="D465" s="115"/>
    </row>
    <row r="466">
      <c r="A466" s="114"/>
      <c r="C466" s="117"/>
      <c r="D466" s="115"/>
    </row>
    <row r="467">
      <c r="A467" s="114"/>
      <c r="C467" s="117"/>
      <c r="D467" s="115"/>
    </row>
    <row r="468">
      <c r="A468" s="114"/>
      <c r="C468" s="117"/>
      <c r="D468" s="115"/>
    </row>
    <row r="469">
      <c r="A469" s="114"/>
      <c r="C469" s="117"/>
      <c r="D469" s="115"/>
    </row>
    <row r="470">
      <c r="A470" s="114"/>
      <c r="C470" s="117"/>
      <c r="D470" s="115"/>
    </row>
    <row r="471">
      <c r="A471" s="114"/>
      <c r="C471" s="117"/>
      <c r="D471" s="115"/>
    </row>
    <row r="472">
      <c r="A472" s="114"/>
      <c r="C472" s="117"/>
      <c r="D472" s="115"/>
    </row>
    <row r="473">
      <c r="A473" s="114"/>
      <c r="C473" s="117"/>
      <c r="D473" s="115"/>
    </row>
    <row r="474">
      <c r="A474" s="114"/>
      <c r="C474" s="117"/>
      <c r="D474" s="115"/>
    </row>
    <row r="475">
      <c r="A475" s="114"/>
      <c r="C475" s="117"/>
      <c r="D475" s="115"/>
    </row>
    <row r="476">
      <c r="A476" s="114"/>
      <c r="C476" s="117"/>
      <c r="D476" s="115"/>
    </row>
    <row r="477">
      <c r="A477" s="114"/>
      <c r="C477" s="117"/>
      <c r="D477" s="115"/>
    </row>
    <row r="478">
      <c r="A478" s="114"/>
      <c r="C478" s="117"/>
      <c r="D478" s="115"/>
    </row>
    <row r="479">
      <c r="A479" s="114"/>
      <c r="C479" s="117"/>
      <c r="D479" s="115"/>
    </row>
    <row r="480">
      <c r="A480" s="114"/>
      <c r="C480" s="117"/>
      <c r="D480" s="115"/>
    </row>
    <row r="481">
      <c r="A481" s="114"/>
      <c r="C481" s="117"/>
      <c r="D481" s="115"/>
    </row>
    <row r="482">
      <c r="A482" s="114"/>
      <c r="C482" s="117"/>
      <c r="D482" s="115"/>
    </row>
    <row r="483">
      <c r="A483" s="114"/>
      <c r="C483" s="117"/>
      <c r="D483" s="115"/>
    </row>
    <row r="484">
      <c r="A484" s="114"/>
      <c r="C484" s="117"/>
      <c r="D484" s="115"/>
    </row>
    <row r="485">
      <c r="A485" s="114"/>
      <c r="C485" s="117"/>
      <c r="D485" s="115"/>
    </row>
    <row r="486">
      <c r="A486" s="114"/>
      <c r="C486" s="117"/>
      <c r="D486" s="115"/>
    </row>
    <row r="487">
      <c r="A487" s="114"/>
      <c r="C487" s="117"/>
      <c r="D487" s="115"/>
    </row>
    <row r="488">
      <c r="A488" s="114"/>
      <c r="C488" s="117"/>
      <c r="D488" s="115"/>
    </row>
    <row r="489">
      <c r="A489" s="114"/>
      <c r="C489" s="117"/>
      <c r="D489" s="115"/>
    </row>
    <row r="490">
      <c r="A490" s="114"/>
      <c r="C490" s="117"/>
      <c r="D490" s="115"/>
    </row>
    <row r="491">
      <c r="A491" s="114"/>
      <c r="C491" s="117"/>
      <c r="D491" s="115"/>
    </row>
    <row r="492">
      <c r="A492" s="114"/>
      <c r="C492" s="117"/>
      <c r="D492" s="115"/>
    </row>
    <row r="493">
      <c r="A493" s="114"/>
      <c r="C493" s="117"/>
      <c r="D493" s="115"/>
    </row>
    <row r="494">
      <c r="A494" s="114"/>
      <c r="C494" s="117"/>
      <c r="D494" s="115"/>
    </row>
    <row r="495">
      <c r="A495" s="114"/>
      <c r="C495" s="117"/>
      <c r="D495" s="115"/>
    </row>
    <row r="496">
      <c r="A496" s="114"/>
      <c r="C496" s="117"/>
      <c r="D496" s="115"/>
    </row>
    <row r="497">
      <c r="A497" s="114"/>
      <c r="C497" s="117"/>
      <c r="D497" s="115"/>
    </row>
    <row r="498">
      <c r="A498" s="114"/>
      <c r="C498" s="117"/>
      <c r="D498" s="115"/>
    </row>
    <row r="499">
      <c r="A499" s="114"/>
      <c r="C499" s="117"/>
      <c r="D499" s="115"/>
    </row>
    <row r="500">
      <c r="A500" s="114"/>
      <c r="C500" s="117"/>
      <c r="D500" s="115"/>
    </row>
    <row r="501">
      <c r="A501" s="114"/>
      <c r="C501" s="117"/>
      <c r="D501" s="115"/>
    </row>
    <row r="502">
      <c r="A502" s="114"/>
      <c r="C502" s="117"/>
      <c r="D502" s="115"/>
    </row>
    <row r="503">
      <c r="A503" s="114"/>
      <c r="C503" s="117"/>
      <c r="D503" s="115"/>
    </row>
    <row r="504">
      <c r="A504" s="114"/>
      <c r="C504" s="117"/>
      <c r="D504" s="115"/>
    </row>
    <row r="505">
      <c r="A505" s="114"/>
      <c r="C505" s="117"/>
      <c r="D505" s="115"/>
    </row>
    <row r="506">
      <c r="A506" s="114"/>
      <c r="C506" s="117"/>
      <c r="D506" s="115"/>
    </row>
    <row r="507">
      <c r="A507" s="114"/>
      <c r="C507" s="117"/>
      <c r="D507" s="115"/>
    </row>
    <row r="508">
      <c r="A508" s="114"/>
      <c r="C508" s="117"/>
      <c r="D508" s="115"/>
    </row>
    <row r="509">
      <c r="A509" s="114"/>
      <c r="C509" s="117"/>
      <c r="D509" s="115"/>
    </row>
    <row r="510">
      <c r="A510" s="114"/>
      <c r="C510" s="117"/>
      <c r="D510" s="115"/>
    </row>
    <row r="511">
      <c r="A511" s="114"/>
      <c r="C511" s="117"/>
      <c r="D511" s="115"/>
    </row>
    <row r="512">
      <c r="A512" s="114"/>
      <c r="C512" s="117"/>
      <c r="D512" s="115"/>
    </row>
    <row r="513">
      <c r="A513" s="114"/>
      <c r="C513" s="117"/>
      <c r="D513" s="115"/>
    </row>
    <row r="514">
      <c r="A514" s="114"/>
      <c r="C514" s="117"/>
      <c r="D514" s="115"/>
    </row>
    <row r="515">
      <c r="A515" s="114"/>
      <c r="C515" s="117"/>
      <c r="D515" s="115"/>
    </row>
    <row r="516">
      <c r="A516" s="114"/>
      <c r="C516" s="117"/>
      <c r="D516" s="115"/>
    </row>
    <row r="517">
      <c r="A517" s="114"/>
      <c r="C517" s="117"/>
      <c r="D517" s="115"/>
    </row>
    <row r="518">
      <c r="A518" s="114"/>
      <c r="C518" s="117"/>
      <c r="D518" s="115"/>
    </row>
    <row r="519">
      <c r="A519" s="114"/>
      <c r="C519" s="117"/>
      <c r="D519" s="115"/>
    </row>
    <row r="520">
      <c r="A520" s="114"/>
      <c r="C520" s="117"/>
      <c r="D520" s="115"/>
    </row>
    <row r="521">
      <c r="A521" s="114"/>
      <c r="C521" s="117"/>
      <c r="D521" s="115"/>
    </row>
    <row r="522">
      <c r="A522" s="114"/>
      <c r="C522" s="117"/>
      <c r="D522" s="115"/>
    </row>
    <row r="523">
      <c r="A523" s="114"/>
      <c r="C523" s="117"/>
      <c r="D523" s="115"/>
    </row>
    <row r="524">
      <c r="A524" s="114"/>
      <c r="C524" s="117"/>
      <c r="D524" s="115"/>
    </row>
    <row r="525">
      <c r="A525" s="114"/>
      <c r="C525" s="117"/>
      <c r="D525" s="115"/>
    </row>
    <row r="526">
      <c r="A526" s="114"/>
      <c r="C526" s="117"/>
      <c r="D526" s="115"/>
    </row>
    <row r="527">
      <c r="A527" s="114"/>
      <c r="C527" s="117"/>
      <c r="D527" s="115"/>
    </row>
    <row r="528">
      <c r="A528" s="114"/>
      <c r="C528" s="117"/>
      <c r="D528" s="115"/>
    </row>
    <row r="529">
      <c r="A529" s="114"/>
      <c r="C529" s="117"/>
      <c r="D529" s="115"/>
    </row>
    <row r="530">
      <c r="A530" s="114"/>
      <c r="C530" s="117"/>
      <c r="D530" s="115"/>
    </row>
    <row r="531">
      <c r="A531" s="114"/>
      <c r="C531" s="117"/>
      <c r="D531" s="115"/>
    </row>
    <row r="532">
      <c r="A532" s="114"/>
      <c r="C532" s="117"/>
      <c r="D532" s="115"/>
    </row>
    <row r="533">
      <c r="A533" s="114"/>
      <c r="C533" s="117"/>
      <c r="D533" s="115"/>
    </row>
    <row r="534">
      <c r="A534" s="114"/>
      <c r="C534" s="117"/>
      <c r="D534" s="115"/>
    </row>
    <row r="535">
      <c r="A535" s="114"/>
      <c r="C535" s="117"/>
      <c r="D535" s="115"/>
    </row>
    <row r="536">
      <c r="A536" s="114"/>
      <c r="C536" s="117"/>
      <c r="D536" s="115"/>
    </row>
    <row r="537">
      <c r="A537" s="114"/>
      <c r="C537" s="117"/>
      <c r="D537" s="115"/>
    </row>
    <row r="538">
      <c r="A538" s="114"/>
      <c r="C538" s="117"/>
      <c r="D538" s="115"/>
    </row>
    <row r="539">
      <c r="A539" s="114"/>
      <c r="C539" s="117"/>
      <c r="D539" s="115"/>
    </row>
    <row r="540">
      <c r="A540" s="114"/>
      <c r="C540" s="117"/>
      <c r="D540" s="115"/>
    </row>
    <row r="541">
      <c r="A541" s="114"/>
      <c r="C541" s="117"/>
      <c r="D541" s="115"/>
    </row>
    <row r="542">
      <c r="A542" s="114"/>
      <c r="C542" s="117"/>
      <c r="D542" s="115"/>
    </row>
    <row r="543">
      <c r="A543" s="114"/>
      <c r="C543" s="117"/>
      <c r="D543" s="115"/>
    </row>
    <row r="544">
      <c r="A544" s="114"/>
      <c r="C544" s="117"/>
      <c r="D544" s="115"/>
    </row>
    <row r="545">
      <c r="A545" s="114"/>
      <c r="C545" s="117"/>
      <c r="D545" s="115"/>
    </row>
    <row r="546">
      <c r="A546" s="114"/>
      <c r="C546" s="117"/>
      <c r="D546" s="115"/>
    </row>
    <row r="547">
      <c r="A547" s="114"/>
      <c r="C547" s="117"/>
      <c r="D547" s="115"/>
    </row>
    <row r="548">
      <c r="A548" s="114"/>
      <c r="C548" s="117"/>
      <c r="D548" s="115"/>
    </row>
    <row r="549">
      <c r="A549" s="114"/>
      <c r="C549" s="117"/>
      <c r="D549" s="115"/>
    </row>
    <row r="550">
      <c r="A550" s="114"/>
      <c r="C550" s="117"/>
      <c r="D550" s="115"/>
    </row>
    <row r="551">
      <c r="A551" s="114"/>
      <c r="C551" s="117"/>
      <c r="D551" s="115"/>
    </row>
    <row r="552">
      <c r="A552" s="114"/>
      <c r="C552" s="117"/>
      <c r="D552" s="115"/>
    </row>
    <row r="553">
      <c r="A553" s="114"/>
      <c r="C553" s="117"/>
      <c r="D553" s="115"/>
    </row>
    <row r="554">
      <c r="A554" s="114"/>
      <c r="C554" s="117"/>
      <c r="D554" s="115"/>
    </row>
    <row r="555">
      <c r="A555" s="114"/>
      <c r="C555" s="117"/>
      <c r="D555" s="115"/>
    </row>
    <row r="556">
      <c r="A556" s="114"/>
      <c r="C556" s="117"/>
      <c r="D556" s="115"/>
    </row>
    <row r="557">
      <c r="A557" s="114"/>
      <c r="C557" s="117"/>
      <c r="D557" s="115"/>
    </row>
    <row r="558">
      <c r="A558" s="114"/>
      <c r="C558" s="117"/>
      <c r="D558" s="115"/>
    </row>
    <row r="559">
      <c r="A559" s="114"/>
      <c r="C559" s="117"/>
      <c r="D559" s="115"/>
    </row>
    <row r="560">
      <c r="A560" s="114"/>
      <c r="C560" s="117"/>
      <c r="D560" s="115"/>
    </row>
    <row r="561">
      <c r="A561" s="114"/>
      <c r="C561" s="117"/>
      <c r="D561" s="115"/>
    </row>
    <row r="562">
      <c r="A562" s="114"/>
      <c r="C562" s="117"/>
      <c r="D562" s="115"/>
    </row>
    <row r="563">
      <c r="A563" s="114"/>
      <c r="C563" s="117"/>
      <c r="D563" s="115"/>
    </row>
    <row r="564">
      <c r="A564" s="114"/>
      <c r="C564" s="117"/>
      <c r="D564" s="115"/>
    </row>
    <row r="565">
      <c r="A565" s="114"/>
      <c r="C565" s="117"/>
      <c r="D565" s="115"/>
    </row>
    <row r="566">
      <c r="A566" s="114"/>
      <c r="C566" s="117"/>
      <c r="D566" s="115"/>
    </row>
    <row r="567">
      <c r="A567" s="114"/>
      <c r="C567" s="117"/>
      <c r="D567" s="115"/>
    </row>
    <row r="568">
      <c r="A568" s="114"/>
      <c r="C568" s="117"/>
      <c r="D568" s="115"/>
    </row>
    <row r="569">
      <c r="A569" s="114"/>
      <c r="C569" s="117"/>
      <c r="D569" s="115"/>
    </row>
    <row r="570">
      <c r="A570" s="114"/>
      <c r="C570" s="117"/>
      <c r="D570" s="115"/>
    </row>
    <row r="571">
      <c r="A571" s="114"/>
      <c r="C571" s="117"/>
      <c r="D571" s="115"/>
    </row>
    <row r="572">
      <c r="A572" s="114"/>
      <c r="C572" s="117"/>
      <c r="D572" s="115"/>
    </row>
    <row r="573">
      <c r="A573" s="114"/>
      <c r="C573" s="117"/>
      <c r="D573" s="115"/>
    </row>
    <row r="574">
      <c r="A574" s="114"/>
      <c r="C574" s="117"/>
      <c r="D574" s="115"/>
    </row>
    <row r="575">
      <c r="A575" s="114"/>
      <c r="C575" s="117"/>
      <c r="D575" s="115"/>
    </row>
    <row r="576">
      <c r="A576" s="114"/>
      <c r="C576" s="117"/>
      <c r="D576" s="115"/>
    </row>
    <row r="577">
      <c r="A577" s="114"/>
      <c r="C577" s="117"/>
      <c r="D577" s="115"/>
    </row>
    <row r="578">
      <c r="A578" s="114"/>
      <c r="C578" s="117"/>
      <c r="D578" s="115"/>
    </row>
    <row r="579">
      <c r="A579" s="114"/>
      <c r="C579" s="117"/>
      <c r="D579" s="115"/>
    </row>
    <row r="580">
      <c r="A580" s="114"/>
      <c r="C580" s="117"/>
      <c r="D580" s="115"/>
    </row>
    <row r="581">
      <c r="A581" s="114"/>
      <c r="C581" s="117"/>
      <c r="D581" s="115"/>
    </row>
    <row r="582">
      <c r="A582" s="114"/>
      <c r="C582" s="117"/>
      <c r="D582" s="115"/>
    </row>
    <row r="583">
      <c r="A583" s="114"/>
      <c r="C583" s="117"/>
      <c r="D583" s="115"/>
    </row>
    <row r="584">
      <c r="A584" s="114"/>
      <c r="C584" s="117"/>
      <c r="D584" s="115"/>
    </row>
    <row r="585">
      <c r="A585" s="114"/>
      <c r="C585" s="117"/>
      <c r="D585" s="115"/>
    </row>
    <row r="586">
      <c r="A586" s="114"/>
      <c r="C586" s="117"/>
      <c r="D586" s="115"/>
    </row>
    <row r="587">
      <c r="A587" s="114"/>
      <c r="C587" s="117"/>
      <c r="D587" s="115"/>
    </row>
    <row r="588">
      <c r="A588" s="114"/>
      <c r="C588" s="117"/>
      <c r="D588" s="115"/>
    </row>
    <row r="589">
      <c r="A589" s="114"/>
      <c r="C589" s="117"/>
      <c r="D589" s="115"/>
    </row>
    <row r="590">
      <c r="A590" s="114"/>
      <c r="C590" s="117"/>
      <c r="D590" s="115"/>
    </row>
    <row r="591">
      <c r="A591" s="114"/>
      <c r="C591" s="117"/>
      <c r="D591" s="115"/>
    </row>
    <row r="592">
      <c r="A592" s="114"/>
      <c r="C592" s="117"/>
      <c r="D592" s="115"/>
    </row>
    <row r="593">
      <c r="A593" s="114"/>
      <c r="C593" s="117"/>
      <c r="D593" s="115"/>
    </row>
    <row r="594">
      <c r="A594" s="114"/>
      <c r="C594" s="117"/>
      <c r="D594" s="115"/>
    </row>
    <row r="595">
      <c r="A595" s="114"/>
      <c r="C595" s="117"/>
      <c r="D595" s="115"/>
    </row>
    <row r="596">
      <c r="A596" s="114"/>
      <c r="C596" s="117"/>
      <c r="D596" s="115"/>
    </row>
    <row r="597">
      <c r="A597" s="114"/>
      <c r="C597" s="117"/>
      <c r="D597" s="115"/>
    </row>
    <row r="598">
      <c r="A598" s="114"/>
      <c r="C598" s="117"/>
      <c r="D598" s="115"/>
    </row>
    <row r="599">
      <c r="A599" s="114"/>
      <c r="C599" s="117"/>
      <c r="D599" s="115"/>
    </row>
    <row r="600">
      <c r="A600" s="114"/>
      <c r="C600" s="117"/>
      <c r="D600" s="115"/>
    </row>
    <row r="601">
      <c r="A601" s="114"/>
      <c r="C601" s="117"/>
      <c r="D601" s="115"/>
    </row>
    <row r="602">
      <c r="A602" s="114"/>
      <c r="C602" s="117"/>
      <c r="D602" s="115"/>
    </row>
    <row r="603">
      <c r="A603" s="114"/>
      <c r="C603" s="117"/>
      <c r="D603" s="115"/>
    </row>
    <row r="604">
      <c r="A604" s="114"/>
      <c r="C604" s="117"/>
      <c r="D604" s="115"/>
    </row>
    <row r="605">
      <c r="A605" s="114"/>
      <c r="C605" s="117"/>
      <c r="D605" s="115"/>
    </row>
    <row r="606">
      <c r="A606" s="114"/>
      <c r="C606" s="117"/>
      <c r="D606" s="115"/>
    </row>
    <row r="607">
      <c r="A607" s="114"/>
      <c r="C607" s="117"/>
      <c r="D607" s="115"/>
    </row>
    <row r="608">
      <c r="A608" s="114"/>
      <c r="C608" s="117"/>
      <c r="D608" s="115"/>
    </row>
    <row r="609">
      <c r="A609" s="114"/>
      <c r="C609" s="117"/>
      <c r="D609" s="115"/>
    </row>
    <row r="610">
      <c r="A610" s="114"/>
      <c r="C610" s="117"/>
      <c r="D610" s="115"/>
    </row>
    <row r="611">
      <c r="A611" s="114"/>
      <c r="C611" s="117"/>
      <c r="D611" s="115"/>
    </row>
    <row r="612">
      <c r="A612" s="114"/>
      <c r="C612" s="117"/>
      <c r="D612" s="115"/>
    </row>
    <row r="613">
      <c r="A613" s="114"/>
      <c r="C613" s="117"/>
      <c r="D613" s="115"/>
    </row>
    <row r="614">
      <c r="A614" s="114"/>
      <c r="C614" s="117"/>
      <c r="D614" s="115"/>
    </row>
    <row r="615">
      <c r="A615" s="114"/>
      <c r="C615" s="117"/>
      <c r="D615" s="115"/>
    </row>
    <row r="616">
      <c r="A616" s="114"/>
      <c r="C616" s="117"/>
      <c r="D616" s="115"/>
    </row>
    <row r="617">
      <c r="A617" s="114"/>
      <c r="C617" s="117"/>
      <c r="D617" s="115"/>
    </row>
    <row r="618">
      <c r="A618" s="114"/>
      <c r="C618" s="117"/>
      <c r="D618" s="115"/>
    </row>
    <row r="619">
      <c r="A619" s="114"/>
      <c r="C619" s="117"/>
      <c r="D619" s="115"/>
    </row>
    <row r="620">
      <c r="A620" s="114"/>
      <c r="C620" s="117"/>
      <c r="D620" s="115"/>
    </row>
    <row r="621">
      <c r="A621" s="114"/>
      <c r="C621" s="117"/>
      <c r="D621" s="115"/>
    </row>
    <row r="622">
      <c r="A622" s="114"/>
      <c r="C622" s="117"/>
      <c r="D622" s="115"/>
    </row>
    <row r="623">
      <c r="A623" s="114"/>
      <c r="C623" s="117"/>
      <c r="D623" s="115"/>
    </row>
    <row r="624">
      <c r="A624" s="114"/>
      <c r="C624" s="117"/>
      <c r="D624" s="115"/>
    </row>
    <row r="625">
      <c r="A625" s="114"/>
      <c r="C625" s="117"/>
      <c r="D625" s="115"/>
    </row>
    <row r="626">
      <c r="A626" s="114"/>
      <c r="C626" s="117"/>
      <c r="D626" s="115"/>
    </row>
    <row r="627">
      <c r="A627" s="114"/>
      <c r="C627" s="117"/>
      <c r="D627" s="115"/>
    </row>
    <row r="628">
      <c r="A628" s="114"/>
      <c r="C628" s="117"/>
      <c r="D628" s="115"/>
    </row>
    <row r="629">
      <c r="A629" s="114"/>
      <c r="C629" s="117"/>
      <c r="D629" s="115"/>
    </row>
    <row r="630">
      <c r="A630" s="114"/>
      <c r="C630" s="117"/>
      <c r="D630" s="115"/>
    </row>
    <row r="631">
      <c r="A631" s="114"/>
      <c r="C631" s="117"/>
      <c r="D631" s="115"/>
    </row>
    <row r="632">
      <c r="A632" s="114"/>
      <c r="C632" s="117"/>
      <c r="D632" s="115"/>
    </row>
    <row r="633">
      <c r="A633" s="114"/>
      <c r="C633" s="117"/>
      <c r="D633" s="115"/>
    </row>
    <row r="634">
      <c r="A634" s="114"/>
      <c r="C634" s="117"/>
      <c r="D634" s="115"/>
    </row>
    <row r="635">
      <c r="A635" s="114"/>
      <c r="C635" s="117"/>
      <c r="D635" s="115"/>
    </row>
    <row r="636">
      <c r="A636" s="114"/>
      <c r="C636" s="117"/>
      <c r="D636" s="115"/>
    </row>
    <row r="637">
      <c r="A637" s="114"/>
      <c r="C637" s="117"/>
      <c r="D637" s="115"/>
    </row>
    <row r="638">
      <c r="A638" s="114"/>
      <c r="C638" s="117"/>
      <c r="D638" s="115"/>
    </row>
    <row r="639">
      <c r="A639" s="114"/>
      <c r="C639" s="117"/>
      <c r="D639" s="115"/>
    </row>
    <row r="640">
      <c r="A640" s="114"/>
      <c r="C640" s="117"/>
      <c r="D640" s="115"/>
    </row>
    <row r="641">
      <c r="A641" s="114"/>
      <c r="C641" s="117"/>
      <c r="D641" s="115"/>
    </row>
    <row r="642">
      <c r="A642" s="114"/>
      <c r="C642" s="117"/>
      <c r="D642" s="115"/>
    </row>
    <row r="643">
      <c r="A643" s="114"/>
      <c r="C643" s="117"/>
      <c r="D643" s="115"/>
    </row>
    <row r="644">
      <c r="A644" s="114"/>
      <c r="C644" s="117"/>
      <c r="D644" s="115"/>
    </row>
    <row r="645">
      <c r="A645" s="114"/>
      <c r="C645" s="117"/>
      <c r="D645" s="115"/>
    </row>
    <row r="646">
      <c r="A646" s="114"/>
      <c r="C646" s="117"/>
      <c r="D646" s="115"/>
    </row>
    <row r="647">
      <c r="A647" s="114"/>
      <c r="C647" s="117"/>
      <c r="D647" s="115"/>
    </row>
    <row r="648">
      <c r="A648" s="114"/>
      <c r="C648" s="117"/>
      <c r="D648" s="115"/>
    </row>
    <row r="649">
      <c r="A649" s="114"/>
      <c r="C649" s="117"/>
      <c r="D649" s="115"/>
    </row>
    <row r="650">
      <c r="A650" s="114"/>
      <c r="C650" s="117"/>
      <c r="D650" s="115"/>
    </row>
    <row r="651">
      <c r="A651" s="114"/>
      <c r="C651" s="117"/>
      <c r="D651" s="115"/>
    </row>
    <row r="652">
      <c r="A652" s="114"/>
      <c r="C652" s="117"/>
      <c r="D652" s="115"/>
    </row>
    <row r="653">
      <c r="A653" s="114"/>
      <c r="C653" s="117"/>
      <c r="D653" s="115"/>
    </row>
    <row r="654">
      <c r="A654" s="114"/>
      <c r="C654" s="117"/>
      <c r="D654" s="115"/>
    </row>
    <row r="655">
      <c r="A655" s="114"/>
      <c r="C655" s="117"/>
      <c r="D655" s="115"/>
    </row>
    <row r="656">
      <c r="A656" s="114"/>
      <c r="C656" s="117"/>
      <c r="D656" s="115"/>
    </row>
    <row r="657">
      <c r="A657" s="114"/>
      <c r="C657" s="117"/>
      <c r="D657" s="115"/>
    </row>
    <row r="658">
      <c r="A658" s="114"/>
      <c r="C658" s="117"/>
      <c r="D658" s="115"/>
    </row>
    <row r="659">
      <c r="A659" s="114"/>
      <c r="C659" s="117"/>
      <c r="D659" s="115"/>
    </row>
    <row r="660">
      <c r="A660" s="114"/>
      <c r="C660" s="117"/>
      <c r="D660" s="115"/>
    </row>
    <row r="661">
      <c r="A661" s="114"/>
      <c r="C661" s="117"/>
      <c r="D661" s="115"/>
    </row>
    <row r="662">
      <c r="A662" s="114"/>
      <c r="C662" s="117"/>
      <c r="D662" s="115"/>
    </row>
    <row r="663">
      <c r="A663" s="114"/>
      <c r="C663" s="117"/>
      <c r="D663" s="115"/>
    </row>
    <row r="664">
      <c r="A664" s="114"/>
      <c r="C664" s="117"/>
      <c r="D664" s="115"/>
    </row>
    <row r="665">
      <c r="A665" s="114"/>
      <c r="C665" s="117"/>
      <c r="D665" s="115"/>
    </row>
    <row r="666">
      <c r="A666" s="114"/>
      <c r="C666" s="117"/>
      <c r="D666" s="115"/>
    </row>
    <row r="667">
      <c r="A667" s="114"/>
      <c r="C667" s="117"/>
      <c r="D667" s="115"/>
    </row>
    <row r="668">
      <c r="A668" s="114"/>
      <c r="C668" s="117"/>
      <c r="D668" s="115"/>
    </row>
    <row r="669">
      <c r="A669" s="114"/>
      <c r="C669" s="117"/>
      <c r="D669" s="115"/>
    </row>
    <row r="670">
      <c r="A670" s="114"/>
      <c r="C670" s="117"/>
      <c r="D670" s="115"/>
    </row>
    <row r="671">
      <c r="A671" s="114"/>
      <c r="C671" s="117"/>
      <c r="D671" s="115"/>
    </row>
    <row r="672">
      <c r="A672" s="114"/>
      <c r="C672" s="117"/>
      <c r="D672" s="115"/>
    </row>
    <row r="673">
      <c r="A673" s="114"/>
      <c r="C673" s="117"/>
      <c r="D673" s="115"/>
    </row>
    <row r="674">
      <c r="A674" s="114"/>
      <c r="C674" s="117"/>
      <c r="D674" s="115"/>
    </row>
    <row r="675">
      <c r="A675" s="114"/>
      <c r="C675" s="117"/>
      <c r="D675" s="115"/>
    </row>
    <row r="676">
      <c r="A676" s="114"/>
      <c r="C676" s="117"/>
      <c r="D676" s="115"/>
    </row>
    <row r="677">
      <c r="A677" s="114"/>
      <c r="C677" s="117"/>
      <c r="D677" s="115"/>
    </row>
    <row r="678">
      <c r="A678" s="114"/>
      <c r="C678" s="117"/>
      <c r="D678" s="115"/>
    </row>
    <row r="679">
      <c r="A679" s="114"/>
      <c r="C679" s="117"/>
      <c r="D679" s="115"/>
    </row>
    <row r="680">
      <c r="A680" s="114"/>
      <c r="C680" s="117"/>
      <c r="D680" s="115"/>
    </row>
    <row r="681">
      <c r="A681" s="114"/>
      <c r="C681" s="117"/>
      <c r="D681" s="115"/>
    </row>
    <row r="682">
      <c r="A682" s="114"/>
      <c r="C682" s="117"/>
      <c r="D682" s="115"/>
    </row>
    <row r="683">
      <c r="A683" s="114"/>
      <c r="C683" s="117"/>
      <c r="D683" s="115"/>
    </row>
    <row r="684">
      <c r="A684" s="114"/>
      <c r="C684" s="117"/>
      <c r="D684" s="115"/>
    </row>
    <row r="685">
      <c r="A685" s="114"/>
      <c r="C685" s="117"/>
      <c r="D685" s="115"/>
    </row>
    <row r="686">
      <c r="A686" s="114"/>
      <c r="C686" s="117"/>
      <c r="D686" s="115"/>
    </row>
    <row r="687">
      <c r="A687" s="114"/>
      <c r="C687" s="117"/>
      <c r="D687" s="115"/>
    </row>
    <row r="688">
      <c r="A688" s="114"/>
      <c r="C688" s="117"/>
      <c r="D688" s="115"/>
    </row>
    <row r="689">
      <c r="A689" s="114"/>
      <c r="C689" s="117"/>
      <c r="D689" s="115"/>
    </row>
    <row r="690">
      <c r="A690" s="114"/>
      <c r="C690" s="117"/>
      <c r="D690" s="115"/>
    </row>
    <row r="691">
      <c r="A691" s="114"/>
      <c r="C691" s="117"/>
      <c r="D691" s="115"/>
    </row>
    <row r="692">
      <c r="A692" s="114"/>
      <c r="C692" s="117"/>
      <c r="D692" s="115"/>
    </row>
    <row r="693">
      <c r="A693" s="114"/>
      <c r="C693" s="117"/>
      <c r="D693" s="115"/>
    </row>
    <row r="694">
      <c r="A694" s="114"/>
      <c r="C694" s="117"/>
      <c r="D694" s="115"/>
    </row>
    <row r="695">
      <c r="A695" s="114"/>
      <c r="C695" s="117"/>
      <c r="D695" s="115"/>
    </row>
    <row r="696">
      <c r="A696" s="114"/>
      <c r="C696" s="117"/>
      <c r="D696" s="115"/>
    </row>
    <row r="697">
      <c r="A697" s="114"/>
      <c r="C697" s="117"/>
      <c r="D697" s="115"/>
    </row>
    <row r="698">
      <c r="A698" s="114"/>
      <c r="C698" s="117"/>
      <c r="D698" s="115"/>
    </row>
    <row r="699">
      <c r="A699" s="114"/>
      <c r="C699" s="117"/>
      <c r="D699" s="115"/>
    </row>
    <row r="700">
      <c r="A700" s="114"/>
      <c r="C700" s="117"/>
      <c r="D700" s="115"/>
    </row>
    <row r="701">
      <c r="A701" s="114"/>
      <c r="C701" s="117"/>
      <c r="D701" s="115"/>
    </row>
    <row r="702">
      <c r="A702" s="114"/>
      <c r="C702" s="117"/>
      <c r="D702" s="115"/>
    </row>
    <row r="703">
      <c r="A703" s="114"/>
      <c r="C703" s="117"/>
      <c r="D703" s="115"/>
    </row>
    <row r="704">
      <c r="A704" s="114"/>
      <c r="C704" s="117"/>
      <c r="D704" s="115"/>
    </row>
    <row r="705">
      <c r="A705" s="114"/>
      <c r="C705" s="117"/>
      <c r="D705" s="115"/>
    </row>
    <row r="706">
      <c r="A706" s="114"/>
      <c r="C706" s="117"/>
      <c r="D706" s="115"/>
    </row>
    <row r="707">
      <c r="A707" s="114"/>
      <c r="C707" s="117"/>
      <c r="D707" s="115"/>
    </row>
    <row r="708">
      <c r="A708" s="114"/>
      <c r="C708" s="117"/>
      <c r="D708" s="115"/>
    </row>
    <row r="709">
      <c r="A709" s="114"/>
      <c r="C709" s="117"/>
      <c r="D709" s="115"/>
    </row>
    <row r="710">
      <c r="A710" s="114"/>
      <c r="C710" s="117"/>
      <c r="D710" s="115"/>
    </row>
    <row r="711">
      <c r="A711" s="114"/>
      <c r="C711" s="117"/>
      <c r="D711" s="115"/>
    </row>
    <row r="712">
      <c r="A712" s="114"/>
      <c r="C712" s="117"/>
      <c r="D712" s="115"/>
    </row>
    <row r="713">
      <c r="A713" s="114"/>
      <c r="C713" s="117"/>
      <c r="D713" s="115"/>
    </row>
    <row r="714">
      <c r="A714" s="114"/>
      <c r="C714" s="117"/>
      <c r="D714" s="115"/>
    </row>
    <row r="715">
      <c r="A715" s="114"/>
      <c r="C715" s="117"/>
      <c r="D715" s="115"/>
    </row>
    <row r="716">
      <c r="A716" s="114"/>
      <c r="C716" s="117"/>
      <c r="D716" s="115"/>
    </row>
    <row r="717">
      <c r="A717" s="114"/>
      <c r="C717" s="117"/>
      <c r="D717" s="115"/>
    </row>
    <row r="718">
      <c r="A718" s="114"/>
      <c r="C718" s="117"/>
      <c r="D718" s="115"/>
    </row>
    <row r="719">
      <c r="A719" s="114"/>
      <c r="C719" s="117"/>
      <c r="D719" s="115"/>
    </row>
    <row r="720">
      <c r="A720" s="114"/>
      <c r="C720" s="117"/>
      <c r="D720" s="115"/>
    </row>
    <row r="721">
      <c r="A721" s="114"/>
      <c r="C721" s="117"/>
      <c r="D721" s="115"/>
    </row>
    <row r="722">
      <c r="A722" s="114"/>
      <c r="C722" s="117"/>
      <c r="D722" s="115"/>
    </row>
    <row r="723">
      <c r="A723" s="114"/>
      <c r="C723" s="117"/>
      <c r="D723" s="115"/>
    </row>
    <row r="724">
      <c r="A724" s="114"/>
      <c r="C724" s="117"/>
      <c r="D724" s="115"/>
    </row>
    <row r="725">
      <c r="A725" s="114"/>
      <c r="C725" s="117"/>
      <c r="D725" s="115"/>
    </row>
    <row r="726">
      <c r="A726" s="114"/>
      <c r="C726" s="117"/>
      <c r="D726" s="115"/>
    </row>
    <row r="727">
      <c r="A727" s="114"/>
      <c r="C727" s="117"/>
      <c r="D727" s="115"/>
    </row>
    <row r="728">
      <c r="A728" s="114"/>
      <c r="C728" s="117"/>
      <c r="D728" s="115"/>
    </row>
    <row r="729">
      <c r="A729" s="114"/>
      <c r="C729" s="117"/>
      <c r="D729" s="115"/>
    </row>
    <row r="730">
      <c r="A730" s="114"/>
      <c r="C730" s="117"/>
      <c r="D730" s="115"/>
    </row>
    <row r="731">
      <c r="A731" s="114"/>
      <c r="C731" s="117"/>
      <c r="D731" s="115"/>
    </row>
    <row r="732">
      <c r="A732" s="114"/>
      <c r="C732" s="117"/>
      <c r="D732" s="115"/>
    </row>
    <row r="733">
      <c r="A733" s="114"/>
      <c r="C733" s="117"/>
      <c r="D733" s="115"/>
    </row>
    <row r="734">
      <c r="A734" s="114"/>
      <c r="C734" s="117"/>
      <c r="D734" s="115"/>
    </row>
    <row r="735">
      <c r="A735" s="114"/>
      <c r="C735" s="117"/>
      <c r="D735" s="115"/>
    </row>
    <row r="736">
      <c r="A736" s="114"/>
      <c r="C736" s="117"/>
      <c r="D736" s="115"/>
    </row>
    <row r="737">
      <c r="A737" s="114"/>
      <c r="C737" s="117"/>
      <c r="D737" s="115"/>
    </row>
    <row r="738">
      <c r="A738" s="114"/>
      <c r="C738" s="117"/>
      <c r="D738" s="115"/>
    </row>
    <row r="739">
      <c r="A739" s="114"/>
      <c r="C739" s="117"/>
      <c r="D739" s="115"/>
    </row>
    <row r="740">
      <c r="A740" s="114"/>
      <c r="C740" s="117"/>
      <c r="D740" s="115"/>
    </row>
    <row r="741">
      <c r="A741" s="114"/>
      <c r="C741" s="117"/>
      <c r="D741" s="115"/>
    </row>
    <row r="742">
      <c r="A742" s="114"/>
      <c r="C742" s="117"/>
      <c r="D742" s="115"/>
    </row>
    <row r="743">
      <c r="A743" s="114"/>
      <c r="C743" s="117"/>
      <c r="D743" s="115"/>
    </row>
    <row r="744">
      <c r="A744" s="114"/>
      <c r="C744" s="117"/>
      <c r="D744" s="115"/>
    </row>
    <row r="745">
      <c r="A745" s="114"/>
      <c r="C745" s="117"/>
      <c r="D745" s="115"/>
    </row>
    <row r="746">
      <c r="A746" s="114"/>
      <c r="C746" s="117"/>
      <c r="D746" s="115"/>
    </row>
    <row r="747">
      <c r="A747" s="114"/>
      <c r="C747" s="117"/>
      <c r="D747" s="115"/>
    </row>
    <row r="748">
      <c r="A748" s="114"/>
      <c r="C748" s="117"/>
      <c r="D748" s="115"/>
    </row>
    <row r="749">
      <c r="A749" s="114"/>
      <c r="C749" s="117"/>
      <c r="D749" s="115"/>
    </row>
    <row r="750">
      <c r="A750" s="114"/>
      <c r="C750" s="117"/>
      <c r="D750" s="115"/>
    </row>
    <row r="751">
      <c r="A751" s="114"/>
      <c r="C751" s="117"/>
      <c r="D751" s="115"/>
    </row>
    <row r="752">
      <c r="A752" s="114"/>
      <c r="C752" s="117"/>
      <c r="D752" s="115"/>
    </row>
    <row r="753">
      <c r="A753" s="114"/>
      <c r="C753" s="117"/>
      <c r="D753" s="115"/>
    </row>
    <row r="754">
      <c r="A754" s="114"/>
      <c r="C754" s="117"/>
      <c r="D754" s="115"/>
    </row>
    <row r="755">
      <c r="A755" s="114"/>
      <c r="C755" s="117"/>
      <c r="D755" s="115"/>
    </row>
    <row r="756">
      <c r="A756" s="114"/>
      <c r="C756" s="117"/>
      <c r="D756" s="115"/>
    </row>
    <row r="757">
      <c r="A757" s="114"/>
      <c r="C757" s="117"/>
      <c r="D757" s="115"/>
    </row>
    <row r="758">
      <c r="A758" s="114"/>
      <c r="C758" s="117"/>
      <c r="D758" s="115"/>
    </row>
    <row r="759">
      <c r="A759" s="114"/>
      <c r="C759" s="117"/>
      <c r="D759" s="115"/>
    </row>
    <row r="760">
      <c r="A760" s="114"/>
      <c r="C760" s="117"/>
      <c r="D760" s="115"/>
    </row>
    <row r="761">
      <c r="A761" s="114"/>
      <c r="C761" s="117"/>
      <c r="D761" s="115"/>
    </row>
    <row r="762">
      <c r="A762" s="114"/>
      <c r="C762" s="117"/>
      <c r="D762" s="115"/>
    </row>
    <row r="763">
      <c r="A763" s="114"/>
      <c r="C763" s="117"/>
      <c r="D763" s="115"/>
    </row>
    <row r="764">
      <c r="A764" s="114"/>
      <c r="C764" s="117"/>
      <c r="D764" s="115"/>
    </row>
    <row r="765">
      <c r="A765" s="114"/>
      <c r="C765" s="117"/>
      <c r="D765" s="115"/>
    </row>
    <row r="766">
      <c r="A766" s="114"/>
      <c r="C766" s="117"/>
      <c r="D766" s="115"/>
    </row>
    <row r="767">
      <c r="A767" s="114"/>
      <c r="C767" s="117"/>
      <c r="D767" s="115"/>
    </row>
    <row r="768">
      <c r="A768" s="114"/>
      <c r="C768" s="117"/>
      <c r="D768" s="115"/>
    </row>
    <row r="769">
      <c r="A769" s="114"/>
      <c r="C769" s="117"/>
      <c r="D769" s="115"/>
    </row>
    <row r="770">
      <c r="A770" s="114"/>
      <c r="C770" s="117"/>
      <c r="D770" s="115"/>
    </row>
    <row r="771">
      <c r="A771" s="114"/>
      <c r="C771" s="117"/>
      <c r="D771" s="115"/>
    </row>
    <row r="772">
      <c r="A772" s="114"/>
      <c r="C772" s="117"/>
      <c r="D772" s="115"/>
    </row>
    <row r="773">
      <c r="A773" s="114"/>
      <c r="C773" s="117"/>
      <c r="D773" s="115"/>
    </row>
    <row r="774">
      <c r="A774" s="114"/>
      <c r="C774" s="117"/>
      <c r="D774" s="115"/>
    </row>
    <row r="775">
      <c r="A775" s="114"/>
      <c r="C775" s="117"/>
      <c r="D775" s="115"/>
    </row>
    <row r="776">
      <c r="A776" s="114"/>
      <c r="C776" s="117"/>
      <c r="D776" s="115"/>
    </row>
    <row r="777">
      <c r="A777" s="114"/>
      <c r="C777" s="117"/>
      <c r="D777" s="115"/>
    </row>
    <row r="778">
      <c r="A778" s="114"/>
      <c r="C778" s="117"/>
      <c r="D778" s="115"/>
    </row>
    <row r="779">
      <c r="A779" s="114"/>
      <c r="C779" s="117"/>
      <c r="D779" s="115"/>
    </row>
    <row r="780">
      <c r="A780" s="114"/>
      <c r="C780" s="117"/>
      <c r="D780" s="115"/>
    </row>
    <row r="781">
      <c r="A781" s="114"/>
      <c r="C781" s="117"/>
      <c r="D781" s="115"/>
    </row>
    <row r="782">
      <c r="A782" s="114"/>
      <c r="C782" s="117"/>
      <c r="D782" s="115"/>
    </row>
    <row r="783">
      <c r="A783" s="114"/>
      <c r="C783" s="117"/>
      <c r="D783" s="115"/>
    </row>
    <row r="784">
      <c r="A784" s="114"/>
      <c r="C784" s="117"/>
      <c r="D784" s="115"/>
    </row>
    <row r="785">
      <c r="A785" s="114"/>
      <c r="C785" s="117"/>
      <c r="D785" s="115"/>
    </row>
    <row r="786">
      <c r="A786" s="114"/>
      <c r="C786" s="117"/>
      <c r="D786" s="115"/>
    </row>
    <row r="787">
      <c r="A787" s="114"/>
      <c r="C787" s="117"/>
      <c r="D787" s="115"/>
    </row>
    <row r="788">
      <c r="A788" s="114"/>
      <c r="C788" s="117"/>
      <c r="D788" s="115"/>
    </row>
    <row r="789">
      <c r="A789" s="114"/>
      <c r="C789" s="117"/>
      <c r="D789" s="115"/>
    </row>
    <row r="790">
      <c r="A790" s="114"/>
      <c r="C790" s="117"/>
      <c r="D790" s="115"/>
    </row>
    <row r="791">
      <c r="A791" s="114"/>
      <c r="C791" s="117"/>
      <c r="D791" s="115"/>
    </row>
    <row r="792">
      <c r="A792" s="114"/>
      <c r="C792" s="117"/>
      <c r="D792" s="115"/>
    </row>
    <row r="793">
      <c r="A793" s="114"/>
      <c r="C793" s="117"/>
      <c r="D793" s="115"/>
    </row>
    <row r="794">
      <c r="A794" s="114"/>
      <c r="C794" s="117"/>
      <c r="D794" s="115"/>
    </row>
    <row r="795">
      <c r="A795" s="114"/>
      <c r="C795" s="117"/>
      <c r="D795" s="115"/>
    </row>
    <row r="796">
      <c r="A796" s="114"/>
      <c r="C796" s="117"/>
      <c r="D796" s="115"/>
    </row>
    <row r="797">
      <c r="A797" s="114"/>
      <c r="C797" s="117"/>
      <c r="D797" s="115"/>
    </row>
    <row r="798">
      <c r="A798" s="114"/>
      <c r="C798" s="117"/>
      <c r="D798" s="115"/>
    </row>
    <row r="799">
      <c r="A799" s="114"/>
      <c r="C799" s="117"/>
      <c r="D799" s="115"/>
    </row>
    <row r="800">
      <c r="A800" s="114"/>
      <c r="C800" s="117"/>
      <c r="D800" s="115"/>
    </row>
    <row r="801">
      <c r="A801" s="114"/>
      <c r="C801" s="117"/>
      <c r="D801" s="115"/>
    </row>
    <row r="802">
      <c r="A802" s="114"/>
      <c r="C802" s="117"/>
      <c r="D802" s="115"/>
    </row>
    <row r="803">
      <c r="A803" s="114"/>
      <c r="C803" s="117"/>
      <c r="D803" s="115"/>
    </row>
    <row r="804">
      <c r="A804" s="114"/>
      <c r="C804" s="117"/>
      <c r="D804" s="115"/>
    </row>
    <row r="805">
      <c r="A805" s="114"/>
      <c r="C805" s="117"/>
      <c r="D805" s="115"/>
    </row>
    <row r="806">
      <c r="A806" s="114"/>
      <c r="C806" s="117"/>
      <c r="D806" s="115"/>
    </row>
    <row r="807">
      <c r="A807" s="114"/>
      <c r="C807" s="117"/>
      <c r="D807" s="115"/>
    </row>
    <row r="808">
      <c r="A808" s="114"/>
      <c r="C808" s="117"/>
      <c r="D808" s="115"/>
    </row>
    <row r="809">
      <c r="A809" s="114"/>
      <c r="C809" s="117"/>
      <c r="D809" s="115"/>
    </row>
    <row r="810">
      <c r="A810" s="114"/>
      <c r="C810" s="117"/>
      <c r="D810" s="115"/>
    </row>
    <row r="811">
      <c r="A811" s="114"/>
      <c r="C811" s="117"/>
      <c r="D811" s="115"/>
    </row>
    <row r="812">
      <c r="A812" s="114"/>
      <c r="C812" s="117"/>
      <c r="D812" s="115"/>
    </row>
    <row r="813">
      <c r="A813" s="114"/>
      <c r="C813" s="117"/>
      <c r="D813" s="115"/>
    </row>
    <row r="814">
      <c r="A814" s="114"/>
      <c r="C814" s="117"/>
      <c r="D814" s="115"/>
    </row>
    <row r="815">
      <c r="A815" s="114"/>
      <c r="C815" s="117"/>
      <c r="D815" s="115"/>
    </row>
    <row r="816">
      <c r="A816" s="114"/>
      <c r="C816" s="117"/>
      <c r="D816" s="115"/>
    </row>
    <row r="817">
      <c r="A817" s="114"/>
      <c r="C817" s="117"/>
      <c r="D817" s="115"/>
    </row>
    <row r="818">
      <c r="A818" s="114"/>
      <c r="C818" s="117"/>
      <c r="D818" s="115"/>
    </row>
    <row r="819">
      <c r="A819" s="114"/>
      <c r="C819" s="117"/>
      <c r="D819" s="115"/>
    </row>
    <row r="820">
      <c r="A820" s="114"/>
      <c r="C820" s="117"/>
      <c r="D820" s="115"/>
    </row>
    <row r="821">
      <c r="A821" s="114"/>
      <c r="C821" s="117"/>
      <c r="D821" s="115"/>
    </row>
    <row r="822">
      <c r="A822" s="114"/>
      <c r="C822" s="117"/>
      <c r="D822" s="115"/>
    </row>
    <row r="823">
      <c r="A823" s="114"/>
      <c r="C823" s="117"/>
      <c r="D823" s="115"/>
    </row>
    <row r="824">
      <c r="A824" s="114"/>
      <c r="C824" s="117"/>
      <c r="D824" s="115"/>
    </row>
    <row r="825">
      <c r="A825" s="114"/>
      <c r="C825" s="117"/>
      <c r="D825" s="115"/>
    </row>
    <row r="826">
      <c r="A826" s="114"/>
      <c r="C826" s="117"/>
      <c r="D826" s="115"/>
    </row>
    <row r="827">
      <c r="A827" s="114"/>
      <c r="C827" s="117"/>
      <c r="D827" s="115"/>
    </row>
    <row r="828">
      <c r="A828" s="114"/>
      <c r="C828" s="117"/>
      <c r="D828" s="115"/>
    </row>
    <row r="829">
      <c r="A829" s="114"/>
      <c r="C829" s="117"/>
      <c r="D829" s="115"/>
    </row>
    <row r="830">
      <c r="A830" s="114"/>
      <c r="C830" s="117"/>
      <c r="D830" s="115"/>
    </row>
    <row r="831">
      <c r="A831" s="114"/>
      <c r="C831" s="117"/>
      <c r="D831" s="115"/>
    </row>
    <row r="832">
      <c r="A832" s="114"/>
      <c r="C832" s="117"/>
      <c r="D832" s="115"/>
    </row>
    <row r="833">
      <c r="A833" s="114"/>
      <c r="C833" s="117"/>
      <c r="D833" s="115"/>
    </row>
    <row r="834">
      <c r="A834" s="114"/>
      <c r="C834" s="117"/>
      <c r="D834" s="115"/>
    </row>
    <row r="835">
      <c r="A835" s="114"/>
      <c r="C835" s="117"/>
      <c r="D835" s="115"/>
    </row>
    <row r="836">
      <c r="A836" s="114"/>
      <c r="C836" s="117"/>
      <c r="D836" s="115"/>
    </row>
    <row r="837">
      <c r="A837" s="114"/>
      <c r="C837" s="117"/>
      <c r="D837" s="115"/>
    </row>
    <row r="838">
      <c r="A838" s="114"/>
      <c r="C838" s="117"/>
      <c r="D838" s="115"/>
    </row>
    <row r="839">
      <c r="A839" s="114"/>
      <c r="C839" s="117"/>
      <c r="D839" s="115"/>
    </row>
    <row r="840">
      <c r="A840" s="114"/>
      <c r="C840" s="117"/>
      <c r="D840" s="115"/>
    </row>
    <row r="841">
      <c r="A841" s="114"/>
      <c r="C841" s="117"/>
      <c r="D841" s="115"/>
    </row>
    <row r="842">
      <c r="A842" s="114"/>
      <c r="C842" s="117"/>
      <c r="D842" s="115"/>
    </row>
    <row r="843">
      <c r="A843" s="114"/>
      <c r="C843" s="117"/>
      <c r="D843" s="115"/>
    </row>
    <row r="844">
      <c r="A844" s="114"/>
      <c r="C844" s="117"/>
      <c r="D844" s="115"/>
    </row>
    <row r="845">
      <c r="A845" s="114"/>
      <c r="C845" s="117"/>
      <c r="D845" s="115"/>
    </row>
    <row r="846">
      <c r="A846" s="114"/>
      <c r="C846" s="117"/>
      <c r="D846" s="115"/>
    </row>
    <row r="847">
      <c r="A847" s="114"/>
      <c r="C847" s="117"/>
      <c r="D847" s="115"/>
    </row>
    <row r="848">
      <c r="A848" s="114"/>
      <c r="C848" s="117"/>
      <c r="D848" s="115"/>
    </row>
    <row r="849">
      <c r="A849" s="114"/>
      <c r="C849" s="117"/>
      <c r="D849" s="115"/>
    </row>
    <row r="850">
      <c r="A850" s="114"/>
      <c r="C850" s="117"/>
      <c r="D850" s="115"/>
    </row>
    <row r="851">
      <c r="A851" s="114"/>
      <c r="C851" s="117"/>
      <c r="D851" s="115"/>
    </row>
    <row r="852">
      <c r="A852" s="114"/>
      <c r="C852" s="117"/>
      <c r="D852" s="115"/>
    </row>
    <row r="853">
      <c r="A853" s="114"/>
      <c r="C853" s="117"/>
      <c r="D853" s="115"/>
    </row>
    <row r="854">
      <c r="A854" s="114"/>
      <c r="C854" s="117"/>
      <c r="D854" s="115"/>
    </row>
    <row r="855">
      <c r="A855" s="114"/>
      <c r="C855" s="117"/>
      <c r="D855" s="115"/>
    </row>
    <row r="856">
      <c r="A856" s="114"/>
      <c r="C856" s="117"/>
      <c r="D856" s="115"/>
    </row>
    <row r="857">
      <c r="A857" s="114"/>
      <c r="C857" s="117"/>
      <c r="D857" s="115"/>
    </row>
    <row r="858">
      <c r="A858" s="114"/>
      <c r="C858" s="117"/>
      <c r="D858" s="115"/>
    </row>
    <row r="859">
      <c r="A859" s="114"/>
      <c r="C859" s="117"/>
      <c r="D859" s="115"/>
    </row>
    <row r="860">
      <c r="A860" s="114"/>
      <c r="C860" s="117"/>
      <c r="D860" s="115"/>
    </row>
    <row r="861">
      <c r="A861" s="114"/>
      <c r="C861" s="117"/>
      <c r="D861" s="115"/>
    </row>
    <row r="862">
      <c r="A862" s="114"/>
      <c r="C862" s="117"/>
      <c r="D862" s="115"/>
    </row>
    <row r="863">
      <c r="A863" s="114"/>
      <c r="C863" s="117"/>
      <c r="D863" s="115"/>
    </row>
    <row r="864">
      <c r="A864" s="114"/>
      <c r="C864" s="117"/>
      <c r="D864" s="115"/>
    </row>
    <row r="865">
      <c r="A865" s="114"/>
      <c r="C865" s="117"/>
      <c r="D865" s="115"/>
    </row>
    <row r="866">
      <c r="A866" s="114"/>
      <c r="C866" s="117"/>
      <c r="D866" s="115"/>
    </row>
    <row r="867">
      <c r="A867" s="114"/>
      <c r="C867" s="117"/>
      <c r="D867" s="115"/>
    </row>
    <row r="868">
      <c r="A868" s="114"/>
      <c r="C868" s="117"/>
      <c r="D868" s="115"/>
    </row>
    <row r="869">
      <c r="A869" s="114"/>
      <c r="C869" s="117"/>
      <c r="D869" s="115"/>
    </row>
    <row r="870">
      <c r="A870" s="114"/>
      <c r="C870" s="117"/>
      <c r="D870" s="115"/>
    </row>
    <row r="871">
      <c r="A871" s="114"/>
      <c r="C871" s="117"/>
      <c r="D871" s="115"/>
    </row>
    <row r="872">
      <c r="A872" s="114"/>
      <c r="C872" s="117"/>
      <c r="D872" s="115"/>
    </row>
    <row r="873">
      <c r="A873" s="114"/>
      <c r="C873" s="117"/>
      <c r="D873" s="115"/>
    </row>
    <row r="874">
      <c r="A874" s="114"/>
      <c r="C874" s="117"/>
      <c r="D874" s="115"/>
    </row>
    <row r="875">
      <c r="A875" s="114"/>
      <c r="C875" s="117"/>
      <c r="D875" s="115"/>
    </row>
    <row r="876">
      <c r="A876" s="114"/>
      <c r="C876" s="117"/>
      <c r="D876" s="115"/>
    </row>
    <row r="877">
      <c r="A877" s="114"/>
      <c r="C877" s="117"/>
      <c r="D877" s="115"/>
    </row>
    <row r="878">
      <c r="A878" s="114"/>
      <c r="C878" s="117"/>
      <c r="D878" s="115"/>
    </row>
    <row r="879">
      <c r="A879" s="114"/>
      <c r="C879" s="117"/>
      <c r="D879" s="115"/>
    </row>
    <row r="880">
      <c r="A880" s="114"/>
      <c r="C880" s="117"/>
      <c r="D880" s="115"/>
    </row>
    <row r="881">
      <c r="A881" s="114"/>
      <c r="C881" s="117"/>
      <c r="D881" s="115"/>
    </row>
    <row r="882">
      <c r="A882" s="114"/>
      <c r="C882" s="117"/>
      <c r="D882" s="115"/>
    </row>
    <row r="883">
      <c r="A883" s="114"/>
      <c r="C883" s="117"/>
      <c r="D883" s="115"/>
    </row>
    <row r="884">
      <c r="A884" s="114"/>
      <c r="C884" s="117"/>
      <c r="D884" s="115"/>
    </row>
    <row r="885">
      <c r="A885" s="114"/>
      <c r="C885" s="117"/>
      <c r="D885" s="115"/>
    </row>
    <row r="886">
      <c r="A886" s="114"/>
      <c r="C886" s="117"/>
      <c r="D886" s="115"/>
    </row>
    <row r="887">
      <c r="A887" s="114"/>
      <c r="C887" s="117"/>
      <c r="D887" s="115"/>
    </row>
    <row r="888">
      <c r="A888" s="114"/>
      <c r="C888" s="117"/>
      <c r="D888" s="115"/>
    </row>
    <row r="889">
      <c r="A889" s="114"/>
      <c r="C889" s="117"/>
      <c r="D889" s="115"/>
    </row>
    <row r="890">
      <c r="A890" s="114"/>
      <c r="C890" s="117"/>
      <c r="D890" s="115"/>
    </row>
    <row r="891">
      <c r="A891" s="114"/>
      <c r="C891" s="117"/>
      <c r="D891" s="115"/>
    </row>
    <row r="892">
      <c r="A892" s="114"/>
      <c r="C892" s="117"/>
      <c r="D892" s="115"/>
    </row>
    <row r="893">
      <c r="A893" s="114"/>
      <c r="C893" s="117"/>
      <c r="D893" s="115"/>
    </row>
    <row r="894">
      <c r="A894" s="114"/>
      <c r="C894" s="117"/>
      <c r="D894" s="115"/>
    </row>
    <row r="895">
      <c r="A895" s="114"/>
      <c r="C895" s="117"/>
      <c r="D895" s="115"/>
    </row>
    <row r="896">
      <c r="A896" s="114"/>
      <c r="C896" s="117"/>
      <c r="D896" s="115"/>
    </row>
    <row r="897">
      <c r="A897" s="114"/>
      <c r="C897" s="117"/>
      <c r="D897" s="115"/>
    </row>
    <row r="898">
      <c r="A898" s="114"/>
      <c r="C898" s="117"/>
      <c r="D898" s="115"/>
    </row>
    <row r="899">
      <c r="A899" s="114"/>
      <c r="C899" s="117"/>
      <c r="D899" s="115"/>
    </row>
    <row r="900">
      <c r="A900" s="114"/>
      <c r="C900" s="117"/>
      <c r="D900" s="115"/>
    </row>
    <row r="901">
      <c r="A901" s="114"/>
      <c r="C901" s="117"/>
      <c r="D901" s="115"/>
    </row>
    <row r="902">
      <c r="A902" s="114"/>
      <c r="C902" s="117"/>
      <c r="D902" s="115"/>
    </row>
    <row r="903">
      <c r="A903" s="114"/>
      <c r="C903" s="117"/>
      <c r="D903" s="115"/>
    </row>
    <row r="904">
      <c r="A904" s="114"/>
      <c r="C904" s="117"/>
      <c r="D904" s="115"/>
    </row>
    <row r="905">
      <c r="A905" s="114"/>
      <c r="C905" s="117"/>
      <c r="D905" s="115"/>
    </row>
    <row r="906">
      <c r="A906" s="114"/>
      <c r="C906" s="117"/>
      <c r="D906" s="115"/>
    </row>
    <row r="907">
      <c r="A907" s="114"/>
      <c r="C907" s="117"/>
      <c r="D907" s="115"/>
    </row>
    <row r="908">
      <c r="A908" s="114"/>
      <c r="C908" s="117"/>
      <c r="D908" s="115"/>
    </row>
    <row r="909">
      <c r="A909" s="114"/>
      <c r="C909" s="117"/>
      <c r="D909" s="115"/>
    </row>
    <row r="910">
      <c r="A910" s="114"/>
      <c r="C910" s="117"/>
      <c r="D910" s="115"/>
    </row>
    <row r="911">
      <c r="A911" s="114"/>
      <c r="C911" s="117"/>
      <c r="D911" s="115"/>
    </row>
    <row r="912">
      <c r="A912" s="114"/>
      <c r="C912" s="117"/>
      <c r="D912" s="115"/>
    </row>
    <row r="913">
      <c r="A913" s="114"/>
      <c r="C913" s="117"/>
      <c r="D913" s="115"/>
    </row>
    <row r="914">
      <c r="A914" s="114"/>
      <c r="C914" s="117"/>
      <c r="D914" s="115"/>
    </row>
    <row r="915">
      <c r="A915" s="114"/>
      <c r="C915" s="117"/>
      <c r="D915" s="115"/>
    </row>
    <row r="916">
      <c r="A916" s="114"/>
      <c r="C916" s="117"/>
      <c r="D916" s="115"/>
    </row>
    <row r="917">
      <c r="A917" s="114"/>
      <c r="C917" s="117"/>
      <c r="D917" s="115"/>
    </row>
    <row r="918">
      <c r="A918" s="114"/>
      <c r="C918" s="117"/>
      <c r="D918" s="115"/>
    </row>
    <row r="919">
      <c r="A919" s="114"/>
      <c r="C919" s="117"/>
      <c r="D919" s="115"/>
    </row>
    <row r="920">
      <c r="A920" s="114"/>
      <c r="C920" s="117"/>
      <c r="D920" s="115"/>
    </row>
    <row r="921">
      <c r="A921" s="114"/>
      <c r="C921" s="117"/>
      <c r="D921" s="115"/>
    </row>
    <row r="922">
      <c r="A922" s="114"/>
      <c r="C922" s="117"/>
      <c r="D922" s="115"/>
    </row>
    <row r="923">
      <c r="A923" s="114"/>
      <c r="C923" s="117"/>
      <c r="D923" s="115"/>
    </row>
    <row r="924">
      <c r="A924" s="114"/>
      <c r="C924" s="117"/>
      <c r="D924" s="115"/>
    </row>
    <row r="925">
      <c r="A925" s="114"/>
      <c r="C925" s="117"/>
      <c r="D925" s="115"/>
    </row>
    <row r="926">
      <c r="A926" s="114"/>
      <c r="C926" s="117"/>
      <c r="D926" s="115"/>
    </row>
    <row r="927">
      <c r="A927" s="114"/>
      <c r="C927" s="117"/>
      <c r="D927" s="115"/>
    </row>
    <row r="928">
      <c r="A928" s="114"/>
      <c r="C928" s="117"/>
      <c r="D928" s="115"/>
    </row>
    <row r="929">
      <c r="A929" s="114"/>
      <c r="C929" s="117"/>
      <c r="D929" s="115"/>
    </row>
    <row r="930">
      <c r="A930" s="114"/>
      <c r="C930" s="117"/>
      <c r="D930" s="115"/>
    </row>
    <row r="931">
      <c r="A931" s="114"/>
      <c r="C931" s="117"/>
      <c r="D931" s="115"/>
    </row>
    <row r="932">
      <c r="A932" s="114"/>
      <c r="C932" s="117"/>
      <c r="D932" s="115"/>
    </row>
    <row r="933">
      <c r="A933" s="114"/>
      <c r="C933" s="117"/>
      <c r="D933" s="115"/>
    </row>
    <row r="934">
      <c r="A934" s="114"/>
      <c r="C934" s="117"/>
      <c r="D934" s="115"/>
    </row>
    <row r="935">
      <c r="A935" s="114"/>
      <c r="C935" s="117"/>
      <c r="D935" s="115"/>
    </row>
    <row r="936">
      <c r="A936" s="114"/>
      <c r="C936" s="117"/>
      <c r="D936" s="115"/>
    </row>
    <row r="937">
      <c r="A937" s="114"/>
      <c r="C937" s="117"/>
      <c r="D937" s="115"/>
    </row>
    <row r="938">
      <c r="A938" s="114"/>
      <c r="C938" s="117"/>
      <c r="D938" s="115"/>
    </row>
    <row r="939">
      <c r="A939" s="114"/>
      <c r="C939" s="117"/>
      <c r="D939" s="115"/>
    </row>
    <row r="940">
      <c r="A940" s="114"/>
      <c r="C940" s="117"/>
      <c r="D940" s="115"/>
    </row>
    <row r="941">
      <c r="A941" s="114"/>
      <c r="C941" s="117"/>
      <c r="D941" s="115"/>
    </row>
    <row r="942">
      <c r="A942" s="114"/>
      <c r="C942" s="117"/>
      <c r="D942" s="115"/>
    </row>
    <row r="943">
      <c r="A943" s="114"/>
      <c r="C943" s="117"/>
      <c r="D943" s="115"/>
    </row>
    <row r="944">
      <c r="A944" s="114"/>
      <c r="C944" s="117"/>
      <c r="D944" s="115"/>
    </row>
    <row r="945">
      <c r="A945" s="114"/>
      <c r="C945" s="117"/>
      <c r="D945" s="115"/>
    </row>
    <row r="946">
      <c r="A946" s="114"/>
      <c r="C946" s="117"/>
      <c r="D946" s="115"/>
    </row>
    <row r="947">
      <c r="A947" s="114"/>
      <c r="C947" s="117"/>
      <c r="D947" s="115"/>
    </row>
    <row r="948">
      <c r="A948" s="114"/>
      <c r="C948" s="117"/>
      <c r="D948" s="115"/>
    </row>
    <row r="949">
      <c r="A949" s="114"/>
      <c r="C949" s="117"/>
      <c r="D949" s="115"/>
    </row>
    <row r="950">
      <c r="A950" s="114"/>
      <c r="C950" s="117"/>
      <c r="D950" s="115"/>
    </row>
    <row r="951">
      <c r="A951" s="114"/>
      <c r="C951" s="117"/>
      <c r="D951" s="115"/>
    </row>
    <row r="952">
      <c r="A952" s="114"/>
      <c r="C952" s="117"/>
      <c r="D952" s="115"/>
    </row>
    <row r="953">
      <c r="A953" s="114"/>
      <c r="C953" s="117"/>
      <c r="D953" s="115"/>
    </row>
    <row r="954">
      <c r="A954" s="114"/>
      <c r="C954" s="117"/>
      <c r="D954" s="115"/>
    </row>
    <row r="955">
      <c r="A955" s="114"/>
      <c r="C955" s="117"/>
      <c r="D955" s="115"/>
    </row>
    <row r="956">
      <c r="A956" s="114"/>
      <c r="C956" s="117"/>
      <c r="D956" s="115"/>
    </row>
    <row r="957">
      <c r="A957" s="114"/>
      <c r="C957" s="117"/>
      <c r="D957" s="115"/>
    </row>
    <row r="958">
      <c r="A958" s="114"/>
      <c r="C958" s="117"/>
      <c r="D958" s="115"/>
    </row>
    <row r="959">
      <c r="A959" s="114"/>
      <c r="C959" s="117"/>
      <c r="D959" s="115"/>
    </row>
    <row r="960">
      <c r="A960" s="114"/>
      <c r="C960" s="117"/>
      <c r="D960" s="115"/>
    </row>
    <row r="961">
      <c r="A961" s="114"/>
      <c r="C961" s="117"/>
      <c r="D961" s="115"/>
    </row>
    <row r="962">
      <c r="A962" s="114"/>
      <c r="C962" s="117"/>
      <c r="D962" s="115"/>
    </row>
    <row r="963">
      <c r="A963" s="114"/>
      <c r="C963" s="117"/>
      <c r="D963" s="115"/>
    </row>
    <row r="964">
      <c r="A964" s="114"/>
      <c r="C964" s="117"/>
      <c r="D964" s="115"/>
    </row>
    <row r="965">
      <c r="A965" s="114"/>
      <c r="C965" s="117"/>
      <c r="D965" s="115"/>
    </row>
    <row r="966">
      <c r="A966" s="114"/>
      <c r="C966" s="117"/>
      <c r="D966" s="115"/>
    </row>
    <row r="967">
      <c r="A967" s="114"/>
      <c r="C967" s="117"/>
      <c r="D967" s="115"/>
    </row>
    <row r="968">
      <c r="A968" s="114"/>
      <c r="C968" s="117"/>
      <c r="D968" s="115"/>
    </row>
    <row r="969">
      <c r="A969" s="114"/>
      <c r="C969" s="117"/>
      <c r="D969" s="115"/>
    </row>
    <row r="970">
      <c r="A970" s="114"/>
      <c r="C970" s="117"/>
      <c r="D970" s="115"/>
    </row>
    <row r="971">
      <c r="A971" s="114"/>
      <c r="C971" s="117"/>
      <c r="D971" s="115"/>
    </row>
    <row r="972">
      <c r="A972" s="114"/>
      <c r="C972" s="117"/>
      <c r="D972" s="115"/>
    </row>
    <row r="973">
      <c r="A973" s="114"/>
      <c r="C973" s="117"/>
      <c r="D973" s="115"/>
    </row>
    <row r="974">
      <c r="A974" s="114"/>
      <c r="C974" s="117"/>
      <c r="D974" s="115"/>
    </row>
    <row r="975">
      <c r="A975" s="114"/>
      <c r="C975" s="117"/>
      <c r="D975" s="115"/>
    </row>
    <row r="976">
      <c r="A976" s="114"/>
      <c r="C976" s="117"/>
      <c r="D976" s="115"/>
    </row>
    <row r="977">
      <c r="A977" s="114"/>
      <c r="C977" s="117"/>
      <c r="D977" s="115"/>
    </row>
    <row r="978">
      <c r="A978" s="114"/>
      <c r="C978" s="117"/>
      <c r="D978" s="115"/>
    </row>
    <row r="979">
      <c r="A979" s="114"/>
      <c r="C979" s="117"/>
      <c r="D979" s="115"/>
    </row>
    <row r="980">
      <c r="A980" s="114"/>
      <c r="C980" s="117"/>
      <c r="D980" s="115"/>
    </row>
    <row r="981">
      <c r="A981" s="114"/>
      <c r="C981" s="117"/>
      <c r="D981" s="115"/>
    </row>
    <row r="982">
      <c r="A982" s="114"/>
      <c r="C982" s="117"/>
      <c r="D982" s="115"/>
    </row>
    <row r="983">
      <c r="A983" s="114"/>
      <c r="C983" s="117"/>
      <c r="D983" s="115"/>
    </row>
    <row r="984">
      <c r="A984" s="114"/>
      <c r="C984" s="117"/>
      <c r="D984" s="115"/>
    </row>
    <row r="985">
      <c r="A985" s="114"/>
      <c r="C985" s="117"/>
      <c r="D985" s="115"/>
    </row>
    <row r="986">
      <c r="A986" s="114"/>
      <c r="C986" s="117"/>
      <c r="D986" s="115"/>
    </row>
    <row r="987">
      <c r="A987" s="114"/>
      <c r="C987" s="117"/>
      <c r="D987" s="115"/>
    </row>
    <row r="988">
      <c r="A988" s="114"/>
      <c r="C988" s="117"/>
      <c r="D988" s="115"/>
    </row>
    <row r="989">
      <c r="A989" s="114"/>
      <c r="C989" s="117"/>
      <c r="D989" s="115"/>
    </row>
    <row r="990">
      <c r="A990" s="114"/>
      <c r="C990" s="117"/>
      <c r="D990" s="115"/>
    </row>
    <row r="991">
      <c r="A991" s="114"/>
      <c r="C991" s="117"/>
      <c r="D991" s="115"/>
    </row>
    <row r="992">
      <c r="A992" s="114"/>
      <c r="C992" s="117"/>
      <c r="D992" s="115"/>
    </row>
    <row r="993">
      <c r="A993" s="114"/>
      <c r="C993" s="117"/>
      <c r="D993" s="115"/>
    </row>
    <row r="994">
      <c r="A994" s="114"/>
      <c r="C994" s="117"/>
      <c r="D994" s="115"/>
    </row>
    <row r="995">
      <c r="A995" s="114"/>
      <c r="C995" s="117"/>
      <c r="D995" s="115"/>
    </row>
    <row r="996">
      <c r="A996" s="114"/>
      <c r="C996" s="117"/>
      <c r="D996" s="115"/>
    </row>
    <row r="997">
      <c r="A997" s="114"/>
      <c r="C997" s="117"/>
      <c r="D997" s="115"/>
    </row>
    <row r="998">
      <c r="A998" s="114"/>
      <c r="C998" s="117"/>
      <c r="D998" s="115"/>
    </row>
    <row r="999">
      <c r="A999" s="114"/>
      <c r="C999" s="117"/>
      <c r="D999" s="115"/>
    </row>
    <row r="1000">
      <c r="A1000" s="114"/>
      <c r="C1000" s="117"/>
      <c r="D1000" s="115"/>
    </row>
  </sheetData>
  <drawing r:id="rId1"/>
</worksheet>
</file>